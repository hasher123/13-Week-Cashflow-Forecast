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New Skill Development\"/>
    </mc:Choice>
  </mc:AlternateContent>
  <xr:revisionPtr revIDLastSave="0" documentId="13_ncr:1_{2D34E7C4-C775-4275-9160-4CB49829DAF1}" xr6:coauthVersionLast="47" xr6:coauthVersionMax="47" xr10:uidLastSave="{00000000-0000-0000-0000-000000000000}"/>
  <bookViews>
    <workbookView xWindow="28680" yWindow="-120" windowWidth="29040" windowHeight="15720" activeTab="8" xr2:uid="{93353134-88C3-4ED8-9A65-8F1C42D4A3A1}"/>
  </bookViews>
  <sheets>
    <sheet name="Summary" sheetId="10" r:id="rId1"/>
    <sheet name="Forecast 1" sheetId="1" r:id="rId2"/>
    <sheet name="Bank Statement Export" sheetId="3" r:id="rId3"/>
    <sheet name="Data" sheetId="6" state="hidden" r:id="rId4"/>
    <sheet name="AP Aging 01" sheetId="8" r:id="rId5"/>
    <sheet name="AR Aging 01" sheetId="9" r:id="rId6"/>
    <sheet name="Mapping" sheetId="7" r:id="rId7"/>
    <sheet name="Error Checking" sheetId="5" r:id="rId8"/>
    <sheet name="Formula Sheet" sheetId="4" r:id="rId9"/>
  </sheets>
  <definedNames>
    <definedName name="_xlnm._FilterDatabase" localSheetId="4" hidden="1">'AP Aging 01'!$A$2:$K$2</definedName>
    <definedName name="_xlnm._FilterDatabase" localSheetId="5" hidden="1">'AR Aging 01'!$A$2:$J$46</definedName>
    <definedName name="_xlnm._FilterDatabase" localSheetId="2" hidden="1">'Bank Statement Export'!$A$1:$J$381</definedName>
  </definedNames>
  <calcPr calcId="181029"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5" i="10" l="1"/>
  <c r="E64" i="10" s="1"/>
  <c r="F15" i="10"/>
  <c r="F64" i="10" s="1"/>
  <c r="G15" i="10"/>
  <c r="G64" i="10" s="1"/>
  <c r="H15" i="10"/>
  <c r="H64" i="10" s="1"/>
  <c r="I15" i="10"/>
  <c r="I64" i="10" s="1"/>
  <c r="J15" i="10"/>
  <c r="J64" i="10" s="1"/>
  <c r="K15" i="10"/>
  <c r="K64" i="10" s="1"/>
  <c r="L15" i="10"/>
  <c r="L64" i="10" s="1"/>
  <c r="M15" i="10"/>
  <c r="M64" i="10" s="1"/>
  <c r="N15" i="10"/>
  <c r="N64" i="10" s="1"/>
  <c r="O15" i="10"/>
  <c r="O64" i="10" s="1"/>
  <c r="P15" i="10"/>
  <c r="P64" i="10" s="1"/>
  <c r="Q15" i="10"/>
  <c r="Q64" i="10" s="1"/>
  <c r="R15" i="10"/>
  <c r="R64" i="10" s="1"/>
  <c r="S15" i="10"/>
  <c r="S64" i="10" s="1"/>
  <c r="T15" i="10"/>
  <c r="T64" i="10" s="1"/>
  <c r="U15" i="10"/>
  <c r="U64" i="10" s="1"/>
  <c r="V15" i="10"/>
  <c r="V64" i="10" s="1"/>
  <c r="D15" i="10"/>
  <c r="D64" i="10" s="1"/>
  <c r="V56" i="10" l="1"/>
  <c r="U56" i="10"/>
  <c r="T56" i="10"/>
  <c r="S56" i="10"/>
  <c r="R56" i="10"/>
  <c r="Q56" i="10"/>
  <c r="P56" i="10"/>
  <c r="O56" i="10"/>
  <c r="N56" i="10"/>
  <c r="M56" i="10"/>
  <c r="L56" i="10"/>
  <c r="K56" i="10"/>
  <c r="J56" i="10"/>
  <c r="I56" i="10"/>
  <c r="H56" i="10"/>
  <c r="G56" i="10"/>
  <c r="F56" i="10"/>
  <c r="E56" i="10"/>
  <c r="D56" i="10"/>
  <c r="V55" i="10"/>
  <c r="U55" i="10"/>
  <c r="T55" i="10"/>
  <c r="S55" i="10"/>
  <c r="R55" i="10"/>
  <c r="Q55" i="10"/>
  <c r="P55" i="10"/>
  <c r="O55" i="10"/>
  <c r="N55" i="10"/>
  <c r="M55" i="10"/>
  <c r="L55" i="10"/>
  <c r="K55" i="10"/>
  <c r="J55" i="10"/>
  <c r="I55" i="10"/>
  <c r="H55" i="10"/>
  <c r="G55" i="10"/>
  <c r="F55" i="10"/>
  <c r="E55" i="10"/>
  <c r="D55" i="10"/>
  <c r="V54" i="10"/>
  <c r="U54" i="10"/>
  <c r="T54" i="10"/>
  <c r="S54" i="10"/>
  <c r="R54" i="10"/>
  <c r="Q54" i="10"/>
  <c r="P54" i="10"/>
  <c r="O54" i="10"/>
  <c r="N54" i="10"/>
  <c r="M54" i="10"/>
  <c r="L54" i="10"/>
  <c r="K54" i="10"/>
  <c r="J54" i="10"/>
  <c r="I54" i="10"/>
  <c r="H54" i="10"/>
  <c r="G54" i="10"/>
  <c r="F54" i="10"/>
  <c r="E54" i="10"/>
  <c r="D54" i="10"/>
  <c r="V53" i="10"/>
  <c r="U53" i="10"/>
  <c r="T53" i="10"/>
  <c r="S53" i="10"/>
  <c r="R53" i="10"/>
  <c r="Q53" i="10"/>
  <c r="P53" i="10"/>
  <c r="O53" i="10"/>
  <c r="N53" i="10"/>
  <c r="M53" i="10"/>
  <c r="L53" i="10"/>
  <c r="K53" i="10"/>
  <c r="J53" i="10"/>
  <c r="I53" i="10"/>
  <c r="H53" i="10"/>
  <c r="G53" i="10"/>
  <c r="F53" i="10"/>
  <c r="E53" i="10"/>
  <c r="D53" i="10"/>
  <c r="V52" i="10"/>
  <c r="U52" i="10"/>
  <c r="T52" i="10"/>
  <c r="S52" i="10"/>
  <c r="R52" i="10"/>
  <c r="Q52" i="10"/>
  <c r="P52" i="10"/>
  <c r="O52" i="10"/>
  <c r="N52" i="10"/>
  <c r="M52" i="10"/>
  <c r="L52" i="10"/>
  <c r="K52" i="10"/>
  <c r="J52" i="10"/>
  <c r="I52" i="10"/>
  <c r="H52" i="10"/>
  <c r="G52" i="10"/>
  <c r="F52" i="10"/>
  <c r="E52" i="10"/>
  <c r="D52" i="10"/>
  <c r="V51" i="10"/>
  <c r="U51" i="10"/>
  <c r="T51" i="10"/>
  <c r="S51" i="10"/>
  <c r="R51" i="10"/>
  <c r="Q51" i="10"/>
  <c r="P51" i="10"/>
  <c r="O51" i="10"/>
  <c r="N51" i="10"/>
  <c r="M51" i="10"/>
  <c r="L51" i="10"/>
  <c r="K51" i="10"/>
  <c r="J51" i="10"/>
  <c r="I51" i="10"/>
  <c r="H51" i="10"/>
  <c r="G51" i="10"/>
  <c r="F51" i="10"/>
  <c r="E51" i="10"/>
  <c r="D51" i="10"/>
  <c r="V50" i="10"/>
  <c r="U50" i="10"/>
  <c r="T50" i="10"/>
  <c r="S50" i="10"/>
  <c r="R50" i="10"/>
  <c r="Q50" i="10"/>
  <c r="P50" i="10"/>
  <c r="O50" i="10"/>
  <c r="N50" i="10"/>
  <c r="M50" i="10"/>
  <c r="L50" i="10"/>
  <c r="K50" i="10"/>
  <c r="J50" i="10"/>
  <c r="I50" i="10"/>
  <c r="H50" i="10"/>
  <c r="G50" i="10"/>
  <c r="F50" i="10"/>
  <c r="E50" i="10"/>
  <c r="D50" i="10"/>
  <c r="V49" i="10"/>
  <c r="U49" i="10"/>
  <c r="T49" i="10"/>
  <c r="S49" i="10"/>
  <c r="R49" i="10"/>
  <c r="Q49" i="10"/>
  <c r="P49" i="10"/>
  <c r="O49" i="10"/>
  <c r="N49" i="10"/>
  <c r="M49" i="10"/>
  <c r="L49" i="10"/>
  <c r="K49" i="10"/>
  <c r="J49" i="10"/>
  <c r="I49" i="10"/>
  <c r="H49" i="10"/>
  <c r="G49" i="10"/>
  <c r="F49" i="10"/>
  <c r="E49" i="10"/>
  <c r="D49" i="10"/>
  <c r="V43" i="10"/>
  <c r="U43" i="10"/>
  <c r="T43" i="10"/>
  <c r="S43" i="10"/>
  <c r="R43" i="10"/>
  <c r="Q43" i="10"/>
  <c r="P43" i="10"/>
  <c r="O43" i="10"/>
  <c r="N43" i="10"/>
  <c r="M43" i="10"/>
  <c r="L43" i="10"/>
  <c r="K43" i="10"/>
  <c r="J43" i="10"/>
  <c r="I43" i="10"/>
  <c r="H43" i="10"/>
  <c r="G43" i="10"/>
  <c r="F43" i="10"/>
  <c r="E43" i="10"/>
  <c r="D43" i="10"/>
  <c r="V42" i="10"/>
  <c r="U42" i="10"/>
  <c r="T42" i="10"/>
  <c r="S42" i="10"/>
  <c r="R42" i="10"/>
  <c r="Q42" i="10"/>
  <c r="P42" i="10"/>
  <c r="O42" i="10"/>
  <c r="N42" i="10"/>
  <c r="M42" i="10"/>
  <c r="L42" i="10"/>
  <c r="K42" i="10"/>
  <c r="J42" i="10"/>
  <c r="I42" i="10"/>
  <c r="H42" i="10"/>
  <c r="G42" i="10"/>
  <c r="F42" i="10"/>
  <c r="E42" i="10"/>
  <c r="D42" i="10"/>
  <c r="V41" i="10"/>
  <c r="U41" i="10"/>
  <c r="T41" i="10"/>
  <c r="S41" i="10"/>
  <c r="R41" i="10"/>
  <c r="Q41" i="10"/>
  <c r="P41" i="10"/>
  <c r="O41" i="10"/>
  <c r="N41" i="10"/>
  <c r="M41" i="10"/>
  <c r="L41" i="10"/>
  <c r="K41" i="10"/>
  <c r="J41" i="10"/>
  <c r="I41" i="10"/>
  <c r="H41" i="10"/>
  <c r="G41" i="10"/>
  <c r="F41" i="10"/>
  <c r="E41" i="10"/>
  <c r="D41" i="10"/>
  <c r="V40" i="10"/>
  <c r="U40" i="10"/>
  <c r="T40" i="10"/>
  <c r="S40" i="10"/>
  <c r="R40" i="10"/>
  <c r="Q40" i="10"/>
  <c r="P40" i="10"/>
  <c r="O40" i="10"/>
  <c r="N40" i="10"/>
  <c r="M40" i="10"/>
  <c r="L40" i="10"/>
  <c r="K40" i="10"/>
  <c r="J40" i="10"/>
  <c r="I40" i="10"/>
  <c r="H40" i="10"/>
  <c r="G40" i="10"/>
  <c r="F40" i="10"/>
  <c r="E40" i="10"/>
  <c r="D40" i="10"/>
  <c r="V39" i="10"/>
  <c r="U39" i="10"/>
  <c r="T39" i="10"/>
  <c r="S39" i="10"/>
  <c r="R39" i="10"/>
  <c r="Q39" i="10"/>
  <c r="P39" i="10"/>
  <c r="O39" i="10"/>
  <c r="N39" i="10"/>
  <c r="M39" i="10"/>
  <c r="L39" i="10"/>
  <c r="K39" i="10"/>
  <c r="J39" i="10"/>
  <c r="I39" i="10"/>
  <c r="H39" i="10"/>
  <c r="G39" i="10"/>
  <c r="F39" i="10"/>
  <c r="E39" i="10"/>
  <c r="D39" i="10"/>
  <c r="V38" i="10"/>
  <c r="U38" i="10"/>
  <c r="T38" i="10"/>
  <c r="S38" i="10"/>
  <c r="R38" i="10"/>
  <c r="Q38" i="10"/>
  <c r="P38" i="10"/>
  <c r="O38" i="10"/>
  <c r="N38" i="10"/>
  <c r="M38" i="10"/>
  <c r="L38" i="10"/>
  <c r="K38" i="10"/>
  <c r="J38" i="10"/>
  <c r="I38" i="10"/>
  <c r="H38" i="10"/>
  <c r="G38" i="10"/>
  <c r="F38" i="10"/>
  <c r="E38" i="10"/>
  <c r="D38" i="10"/>
  <c r="V37" i="10"/>
  <c r="U37" i="10"/>
  <c r="T37" i="10"/>
  <c r="S37" i="10"/>
  <c r="R37" i="10"/>
  <c r="Q37" i="10"/>
  <c r="P37" i="10"/>
  <c r="O37" i="10"/>
  <c r="N37" i="10"/>
  <c r="M37" i="10"/>
  <c r="L37" i="10"/>
  <c r="K37" i="10"/>
  <c r="J37" i="10"/>
  <c r="I37" i="10"/>
  <c r="H37" i="10"/>
  <c r="G37" i="10"/>
  <c r="F37" i="10"/>
  <c r="E37" i="10"/>
  <c r="D37" i="10"/>
  <c r="V36" i="10"/>
  <c r="U36" i="10"/>
  <c r="T36" i="10"/>
  <c r="S36" i="10"/>
  <c r="R36" i="10"/>
  <c r="Q36" i="10"/>
  <c r="P36" i="10"/>
  <c r="O36" i="10"/>
  <c r="N36" i="10"/>
  <c r="M36" i="10"/>
  <c r="L36" i="10"/>
  <c r="K36" i="10"/>
  <c r="J36" i="10"/>
  <c r="I36" i="10"/>
  <c r="H36" i="10"/>
  <c r="G36" i="10"/>
  <c r="F36" i="10"/>
  <c r="E36" i="10"/>
  <c r="D36" i="10"/>
  <c r="V35" i="10"/>
  <c r="U35" i="10"/>
  <c r="T35" i="10"/>
  <c r="S35" i="10"/>
  <c r="R35" i="10"/>
  <c r="Q35" i="10"/>
  <c r="P35" i="10"/>
  <c r="O35" i="10"/>
  <c r="N35" i="10"/>
  <c r="M35" i="10"/>
  <c r="L35" i="10"/>
  <c r="K35" i="10"/>
  <c r="J35" i="10"/>
  <c r="I35" i="10"/>
  <c r="H35" i="10"/>
  <c r="G35" i="10"/>
  <c r="F35" i="10"/>
  <c r="E35" i="10"/>
  <c r="D35" i="10"/>
  <c r="V34" i="10"/>
  <c r="U34" i="10"/>
  <c r="T34" i="10"/>
  <c r="S34" i="10"/>
  <c r="R34" i="10"/>
  <c r="Q34" i="10"/>
  <c r="P34" i="10"/>
  <c r="O34" i="10"/>
  <c r="N34" i="10"/>
  <c r="M34" i="10"/>
  <c r="L34" i="10"/>
  <c r="K34" i="10"/>
  <c r="J34" i="10"/>
  <c r="I34" i="10"/>
  <c r="H34" i="10"/>
  <c r="G34" i="10"/>
  <c r="F34" i="10"/>
  <c r="E34" i="10"/>
  <c r="D34" i="10"/>
  <c r="V33" i="10"/>
  <c r="U33" i="10"/>
  <c r="T33" i="10"/>
  <c r="S33" i="10"/>
  <c r="R33" i="10"/>
  <c r="Q33" i="10"/>
  <c r="P33" i="10"/>
  <c r="O33" i="10"/>
  <c r="N33" i="10"/>
  <c r="M33" i="10"/>
  <c r="L33" i="10"/>
  <c r="K33" i="10"/>
  <c r="J33" i="10"/>
  <c r="I33" i="10"/>
  <c r="H33" i="10"/>
  <c r="G33" i="10"/>
  <c r="F33" i="10"/>
  <c r="E33" i="10"/>
  <c r="D33" i="10"/>
  <c r="V32" i="10"/>
  <c r="U32" i="10"/>
  <c r="T32" i="10"/>
  <c r="S32" i="10"/>
  <c r="R32" i="10"/>
  <c r="Q32" i="10"/>
  <c r="P32" i="10"/>
  <c r="O32" i="10"/>
  <c r="N32" i="10"/>
  <c r="M32" i="10"/>
  <c r="L32" i="10"/>
  <c r="K32" i="10"/>
  <c r="J32" i="10"/>
  <c r="I32" i="10"/>
  <c r="H32" i="10"/>
  <c r="G32" i="10"/>
  <c r="F32" i="10"/>
  <c r="E32" i="10"/>
  <c r="D32" i="10"/>
  <c r="V31" i="10"/>
  <c r="U31" i="10"/>
  <c r="T31" i="10"/>
  <c r="S31" i="10"/>
  <c r="R31" i="10"/>
  <c r="Q31" i="10"/>
  <c r="P31" i="10"/>
  <c r="O31" i="10"/>
  <c r="N31" i="10"/>
  <c r="M31" i="10"/>
  <c r="L31" i="10"/>
  <c r="K31" i="10"/>
  <c r="J31" i="10"/>
  <c r="I31" i="10"/>
  <c r="H31" i="10"/>
  <c r="G31" i="10"/>
  <c r="F31" i="10"/>
  <c r="E31" i="10"/>
  <c r="D31" i="10"/>
  <c r="V30" i="10"/>
  <c r="U30" i="10"/>
  <c r="T30" i="10"/>
  <c r="S30" i="10"/>
  <c r="R30" i="10"/>
  <c r="Q30" i="10"/>
  <c r="P30" i="10"/>
  <c r="O30" i="10"/>
  <c r="N30" i="10"/>
  <c r="M30" i="10"/>
  <c r="L30" i="10"/>
  <c r="K30" i="10"/>
  <c r="J30" i="10"/>
  <c r="I30" i="10"/>
  <c r="H30" i="10"/>
  <c r="G30" i="10"/>
  <c r="F30" i="10"/>
  <c r="E30" i="10"/>
  <c r="D30" i="10"/>
  <c r="V29" i="10"/>
  <c r="U29" i="10"/>
  <c r="T29" i="10"/>
  <c r="S29" i="10"/>
  <c r="R29" i="10"/>
  <c r="Q29" i="10"/>
  <c r="P29" i="10"/>
  <c r="O29" i="10"/>
  <c r="N29" i="10"/>
  <c r="M29" i="10"/>
  <c r="L29" i="10"/>
  <c r="K29" i="10"/>
  <c r="J29" i="10"/>
  <c r="I29" i="10"/>
  <c r="H29" i="10"/>
  <c r="G29" i="10"/>
  <c r="F29" i="10"/>
  <c r="E29" i="10"/>
  <c r="D29" i="10"/>
  <c r="V28" i="10"/>
  <c r="U28" i="10"/>
  <c r="T28" i="10"/>
  <c r="S28" i="10"/>
  <c r="R28" i="10"/>
  <c r="Q28" i="10"/>
  <c r="P28" i="10"/>
  <c r="O28" i="10"/>
  <c r="N28" i="10"/>
  <c r="M28" i="10"/>
  <c r="L28" i="10"/>
  <c r="K28" i="10"/>
  <c r="J28" i="10"/>
  <c r="I28" i="10"/>
  <c r="H28" i="10"/>
  <c r="G28" i="10"/>
  <c r="F28" i="10"/>
  <c r="E28" i="10"/>
  <c r="D28" i="10"/>
  <c r="V27" i="10"/>
  <c r="U27" i="10"/>
  <c r="T27" i="10"/>
  <c r="S27" i="10"/>
  <c r="R27" i="10"/>
  <c r="Q27" i="10"/>
  <c r="P27" i="10"/>
  <c r="O27" i="10"/>
  <c r="N27" i="10"/>
  <c r="M27" i="10"/>
  <c r="L27" i="10"/>
  <c r="K27" i="10"/>
  <c r="J27" i="10"/>
  <c r="I27" i="10"/>
  <c r="H27" i="10"/>
  <c r="G27" i="10"/>
  <c r="F27" i="10"/>
  <c r="E27" i="10"/>
  <c r="D27" i="10"/>
  <c r="V26" i="10"/>
  <c r="U26" i="10"/>
  <c r="T26" i="10"/>
  <c r="S26" i="10"/>
  <c r="R26" i="10"/>
  <c r="Q26" i="10"/>
  <c r="P26" i="10"/>
  <c r="O26" i="10"/>
  <c r="N26" i="10"/>
  <c r="M26" i="10"/>
  <c r="L26" i="10"/>
  <c r="K26" i="10"/>
  <c r="J26" i="10"/>
  <c r="I26" i="10"/>
  <c r="H26" i="10"/>
  <c r="G26" i="10"/>
  <c r="F26" i="10"/>
  <c r="E26" i="10"/>
  <c r="D26" i="10"/>
  <c r="V25" i="10"/>
  <c r="U25" i="10"/>
  <c r="T25" i="10"/>
  <c r="S25" i="10"/>
  <c r="R25" i="10"/>
  <c r="Q25" i="10"/>
  <c r="P25" i="10"/>
  <c r="O25" i="10"/>
  <c r="N25" i="10"/>
  <c r="M25" i="10"/>
  <c r="L25" i="10"/>
  <c r="K25" i="10"/>
  <c r="J25" i="10"/>
  <c r="I25" i="10"/>
  <c r="H25" i="10"/>
  <c r="G25" i="10"/>
  <c r="F25" i="10"/>
  <c r="E25" i="10"/>
  <c r="D25" i="10"/>
  <c r="V24" i="10"/>
  <c r="U24" i="10"/>
  <c r="T24" i="10"/>
  <c r="S24" i="10"/>
  <c r="R24" i="10"/>
  <c r="Q24" i="10"/>
  <c r="P24" i="10"/>
  <c r="O24" i="10"/>
  <c r="N24" i="10"/>
  <c r="M24" i="10"/>
  <c r="L24" i="10"/>
  <c r="K24" i="10"/>
  <c r="J24" i="10"/>
  <c r="I24" i="10"/>
  <c r="H24" i="10"/>
  <c r="G24" i="10"/>
  <c r="F24" i="10"/>
  <c r="E24" i="10"/>
  <c r="D24" i="10"/>
  <c r="V19" i="10"/>
  <c r="U19" i="10"/>
  <c r="T19" i="10"/>
  <c r="S19" i="10"/>
  <c r="R19" i="10"/>
  <c r="Q19" i="10"/>
  <c r="P19" i="10"/>
  <c r="O19" i="10"/>
  <c r="N19" i="10"/>
  <c r="M19" i="10"/>
  <c r="L19" i="10"/>
  <c r="K19" i="10"/>
  <c r="J19" i="10"/>
  <c r="I19" i="10"/>
  <c r="H19" i="10"/>
  <c r="G19" i="10"/>
  <c r="F19" i="10"/>
  <c r="E19" i="10"/>
  <c r="D19" i="10"/>
  <c r="V18" i="10"/>
  <c r="U18" i="10"/>
  <c r="T18" i="10"/>
  <c r="S18" i="10"/>
  <c r="R18" i="10"/>
  <c r="Q18" i="10"/>
  <c r="P18" i="10"/>
  <c r="O18" i="10"/>
  <c r="N18" i="10"/>
  <c r="M18" i="10"/>
  <c r="L18" i="10"/>
  <c r="K18" i="10"/>
  <c r="J18" i="10"/>
  <c r="I18" i="10"/>
  <c r="H18" i="10"/>
  <c r="G18" i="10"/>
  <c r="F18" i="10"/>
  <c r="E18" i="10"/>
  <c r="D18" i="10"/>
  <c r="E13" i="10"/>
  <c r="F13" i="10"/>
  <c r="G13" i="10"/>
  <c r="H13" i="10"/>
  <c r="I13" i="10"/>
  <c r="J13" i="10"/>
  <c r="K13" i="10"/>
  <c r="L13" i="10"/>
  <c r="M13" i="10"/>
  <c r="N13" i="10"/>
  <c r="O13" i="10"/>
  <c r="P13" i="10"/>
  <c r="Q13" i="10"/>
  <c r="R13" i="10"/>
  <c r="S13" i="10"/>
  <c r="T13" i="10"/>
  <c r="U13" i="10"/>
  <c r="V13" i="10"/>
  <c r="D13" i="10"/>
  <c r="D10" i="10"/>
  <c r="D7" i="1"/>
  <c r="D55" i="1" s="1"/>
  <c r="C30" i="4"/>
  <c r="V14" i="10"/>
  <c r="U14" i="10"/>
  <c r="T14" i="10"/>
  <c r="S14" i="10"/>
  <c r="R14" i="10"/>
  <c r="Q14" i="10"/>
  <c r="P14" i="10"/>
  <c r="O14" i="10"/>
  <c r="N14" i="10"/>
  <c r="M14" i="10"/>
  <c r="L14" i="10"/>
  <c r="K14" i="10"/>
  <c r="J14" i="10"/>
  <c r="A14" i="9"/>
  <c r="A6" i="8"/>
  <c r="A4" i="9"/>
  <c r="A5" i="9"/>
  <c r="A6" i="9"/>
  <c r="A7" i="9"/>
  <c r="A8" i="9"/>
  <c r="A9" i="9"/>
  <c r="A10" i="9"/>
  <c r="A11" i="9"/>
  <c r="A12" i="9"/>
  <c r="A13"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3"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J6" i="9"/>
  <c r="J5" i="9"/>
  <c r="J4" i="9"/>
  <c r="J3" i="9"/>
  <c r="A4" i="8"/>
  <c r="A5"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3" i="8"/>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K9" i="8"/>
  <c r="K8" i="8"/>
  <c r="K7" i="8"/>
  <c r="K6" i="8"/>
  <c r="K5" i="8"/>
  <c r="K4" i="8"/>
  <c r="K3" i="8"/>
  <c r="I13" i="1"/>
  <c r="H13" i="1"/>
  <c r="G13" i="1"/>
  <c r="F13" i="1"/>
  <c r="E13" i="1"/>
  <c r="D13" i="1"/>
  <c r="D56" i="1"/>
  <c r="D50" i="1"/>
  <c r="D49" i="1"/>
  <c r="D44" i="1"/>
  <c r="D38" i="1"/>
  <c r="D37" i="1"/>
  <c r="D36" i="1"/>
  <c r="D30" i="1"/>
  <c r="D29" i="1"/>
  <c r="D28" i="1"/>
  <c r="D18" i="1"/>
  <c r="C26" i="4"/>
  <c r="C21" i="4"/>
  <c r="B2" i="3"/>
  <c r="C2" i="3" s="1" a="1"/>
  <c r="C2" i="3" s="1"/>
  <c r="G6" i="7"/>
  <c r="G2" i="7"/>
  <c r="G3" i="7"/>
  <c r="G4" i="7"/>
  <c r="G5" i="7"/>
  <c r="G7" i="7"/>
  <c r="G8" i="7"/>
  <c r="G9" i="7"/>
  <c r="G10" i="7"/>
  <c r="G11" i="7"/>
  <c r="G12" i="7"/>
  <c r="G13" i="7"/>
  <c r="G14" i="7"/>
  <c r="G15" i="7"/>
  <c r="G16" i="7"/>
  <c r="G17" i="7"/>
  <c r="G18" i="7"/>
  <c r="G19" i="7"/>
  <c r="G20" i="7"/>
  <c r="G21" i="7"/>
  <c r="G22" i="7"/>
  <c r="G23" i="7"/>
  <c r="C2" i="7"/>
  <c r="C3" i="7"/>
  <c r="C4" i="7"/>
  <c r="C5" i="7"/>
  <c r="C6" i="7"/>
  <c r="C7" i="7"/>
  <c r="C8" i="7"/>
  <c r="C9" i="7"/>
  <c r="C10" i="7"/>
  <c r="C11" i="7"/>
  <c r="C12" i="7"/>
  <c r="C13" i="7"/>
  <c r="C14" i="7"/>
  <c r="C15" i="7"/>
  <c r="C16" i="7"/>
  <c r="C17" i="7"/>
  <c r="C18" i="7"/>
  <c r="C19" i="7"/>
  <c r="C20" i="7"/>
  <c r="C21" i="7"/>
  <c r="C22" i="7"/>
  <c r="B381" i="3"/>
  <c r="C381" i="3" s="1" a="1"/>
  <c r="C381" i="3" s="1"/>
  <c r="D381" i="3" s="1"/>
  <c r="B380" i="3"/>
  <c r="C380" i="3" s="1" a="1"/>
  <c r="C380" i="3" s="1"/>
  <c r="D380" i="3" s="1"/>
  <c r="B379" i="3"/>
  <c r="C379" i="3" s="1" a="1"/>
  <c r="C379" i="3" s="1"/>
  <c r="D379" i="3" s="1"/>
  <c r="B378" i="3"/>
  <c r="C378" i="3" s="1" a="1"/>
  <c r="C378" i="3" s="1"/>
  <c r="D378" i="3" s="1"/>
  <c r="B377" i="3"/>
  <c r="C377" i="3" s="1" a="1"/>
  <c r="C377" i="3" s="1"/>
  <c r="D377" i="3" s="1"/>
  <c r="B376" i="3"/>
  <c r="C376" i="3" s="1" a="1"/>
  <c r="C376" i="3" s="1"/>
  <c r="D376" i="3" s="1"/>
  <c r="B375" i="3"/>
  <c r="C375" i="3" s="1" a="1"/>
  <c r="C375" i="3" s="1"/>
  <c r="D375" i="3" s="1"/>
  <c r="B374" i="3"/>
  <c r="C374" i="3" s="1" a="1"/>
  <c r="C374" i="3" s="1"/>
  <c r="D374" i="3" s="1"/>
  <c r="B373" i="3"/>
  <c r="C373" i="3" s="1" a="1"/>
  <c r="C373" i="3" s="1"/>
  <c r="D373" i="3" s="1"/>
  <c r="B372" i="3"/>
  <c r="C372" i="3" s="1" a="1"/>
  <c r="C372" i="3" s="1"/>
  <c r="D372" i="3" s="1"/>
  <c r="B371" i="3"/>
  <c r="C371" i="3" s="1" a="1"/>
  <c r="C371" i="3" s="1"/>
  <c r="D371" i="3" s="1"/>
  <c r="B370" i="3"/>
  <c r="C370" i="3" s="1" a="1"/>
  <c r="C370" i="3" s="1"/>
  <c r="D370" i="3" s="1"/>
  <c r="B369" i="3"/>
  <c r="C369" i="3" s="1" a="1"/>
  <c r="C369" i="3" s="1"/>
  <c r="D369" i="3" s="1"/>
  <c r="B368" i="3"/>
  <c r="C368" i="3" s="1" a="1"/>
  <c r="C368" i="3" s="1"/>
  <c r="D368" i="3" s="1"/>
  <c r="B367" i="3"/>
  <c r="C367" i="3" s="1" a="1"/>
  <c r="C367" i="3" s="1"/>
  <c r="D367" i="3" s="1"/>
  <c r="B366" i="3"/>
  <c r="C366" i="3" s="1" a="1"/>
  <c r="C366" i="3" s="1"/>
  <c r="D366" i="3" s="1"/>
  <c r="B365" i="3"/>
  <c r="C365" i="3" s="1" a="1"/>
  <c r="C365" i="3" s="1"/>
  <c r="D365" i="3" s="1"/>
  <c r="B364" i="3"/>
  <c r="C364" i="3" s="1" a="1"/>
  <c r="C364" i="3" s="1"/>
  <c r="D364" i="3" s="1"/>
  <c r="B363" i="3"/>
  <c r="C363" i="3" s="1" a="1"/>
  <c r="C363" i="3" s="1"/>
  <c r="D363" i="3" s="1"/>
  <c r="B362" i="3"/>
  <c r="C362" i="3" s="1" a="1"/>
  <c r="C362" i="3" s="1"/>
  <c r="D362" i="3" s="1"/>
  <c r="B361" i="3"/>
  <c r="C361" i="3" s="1" a="1"/>
  <c r="C361" i="3" s="1"/>
  <c r="D361" i="3" s="1"/>
  <c r="B360" i="3"/>
  <c r="C360" i="3" s="1" a="1"/>
  <c r="C360" i="3" s="1"/>
  <c r="D360" i="3" s="1"/>
  <c r="B359" i="3"/>
  <c r="C359" i="3" s="1" a="1"/>
  <c r="C359" i="3" s="1"/>
  <c r="D359" i="3" s="1"/>
  <c r="B358" i="3"/>
  <c r="C358" i="3" s="1" a="1"/>
  <c r="C358" i="3" s="1"/>
  <c r="D358" i="3" s="1"/>
  <c r="B357" i="3"/>
  <c r="C357" i="3" s="1" a="1"/>
  <c r="C357" i="3" s="1"/>
  <c r="D357" i="3" s="1"/>
  <c r="B356" i="3"/>
  <c r="C356" i="3" s="1" a="1"/>
  <c r="C356" i="3" s="1"/>
  <c r="D356" i="3" s="1"/>
  <c r="B355" i="3"/>
  <c r="C355" i="3" s="1" a="1"/>
  <c r="C355" i="3" s="1"/>
  <c r="D355" i="3" s="1"/>
  <c r="B354" i="3"/>
  <c r="C354" i="3" s="1" a="1"/>
  <c r="C354" i="3" s="1"/>
  <c r="D354" i="3" s="1"/>
  <c r="B353" i="3"/>
  <c r="C353" i="3" s="1" a="1"/>
  <c r="C353" i="3" s="1"/>
  <c r="D353" i="3" s="1"/>
  <c r="B352" i="3"/>
  <c r="C352" i="3" s="1" a="1"/>
  <c r="C352" i="3" s="1"/>
  <c r="D352" i="3" s="1"/>
  <c r="B351" i="3"/>
  <c r="C351" i="3" s="1" a="1"/>
  <c r="C351" i="3" s="1"/>
  <c r="D351" i="3" s="1"/>
  <c r="B350" i="3"/>
  <c r="C350" i="3" s="1" a="1"/>
  <c r="C350" i="3" s="1"/>
  <c r="D350" i="3" s="1"/>
  <c r="B349" i="3"/>
  <c r="C349" i="3" s="1" a="1"/>
  <c r="C349" i="3" s="1"/>
  <c r="D349" i="3" s="1"/>
  <c r="B348" i="3"/>
  <c r="C348" i="3" s="1" a="1"/>
  <c r="C348" i="3" s="1"/>
  <c r="D348" i="3" s="1"/>
  <c r="B347" i="3"/>
  <c r="C347" i="3" s="1" a="1"/>
  <c r="C347" i="3" s="1"/>
  <c r="D347" i="3" s="1"/>
  <c r="B346" i="3"/>
  <c r="C346" i="3" s="1" a="1"/>
  <c r="C346" i="3" s="1"/>
  <c r="D346" i="3" s="1"/>
  <c r="B345" i="3"/>
  <c r="C345" i="3" s="1" a="1"/>
  <c r="C345" i="3" s="1"/>
  <c r="D345" i="3" s="1"/>
  <c r="B344" i="3"/>
  <c r="C344" i="3" s="1" a="1"/>
  <c r="C344" i="3" s="1"/>
  <c r="D344" i="3" s="1"/>
  <c r="B343" i="3"/>
  <c r="C343" i="3" s="1" a="1"/>
  <c r="C343" i="3" s="1"/>
  <c r="D343" i="3" s="1"/>
  <c r="B342" i="3"/>
  <c r="C342" i="3" s="1" a="1"/>
  <c r="C342" i="3" s="1"/>
  <c r="D342" i="3" s="1"/>
  <c r="B341" i="3"/>
  <c r="C341" i="3" s="1" a="1"/>
  <c r="C341" i="3" s="1"/>
  <c r="D341" i="3" s="1"/>
  <c r="B340" i="3"/>
  <c r="C340" i="3" s="1" a="1"/>
  <c r="C340" i="3" s="1"/>
  <c r="D340" i="3" s="1"/>
  <c r="B339" i="3"/>
  <c r="C339" i="3" s="1" a="1"/>
  <c r="C339" i="3" s="1"/>
  <c r="D339" i="3" s="1"/>
  <c r="B338" i="3"/>
  <c r="C338" i="3" s="1" a="1"/>
  <c r="C338" i="3" s="1"/>
  <c r="D338" i="3" s="1"/>
  <c r="B337" i="3"/>
  <c r="C337" i="3" s="1" a="1"/>
  <c r="C337" i="3" s="1"/>
  <c r="D337" i="3" s="1"/>
  <c r="B336" i="3"/>
  <c r="C336" i="3" s="1" a="1"/>
  <c r="C336" i="3" s="1"/>
  <c r="D336" i="3" s="1"/>
  <c r="B335" i="3"/>
  <c r="C335" i="3" s="1" a="1"/>
  <c r="C335" i="3" s="1"/>
  <c r="D335" i="3" s="1"/>
  <c r="B334" i="3"/>
  <c r="C334" i="3" s="1" a="1"/>
  <c r="C334" i="3" s="1"/>
  <c r="D334" i="3" s="1"/>
  <c r="B333" i="3"/>
  <c r="C333" i="3" s="1" a="1"/>
  <c r="C333" i="3" s="1"/>
  <c r="D333" i="3" s="1"/>
  <c r="B332" i="3"/>
  <c r="C332" i="3" s="1" a="1"/>
  <c r="C332" i="3" s="1"/>
  <c r="D332" i="3" s="1"/>
  <c r="B331" i="3"/>
  <c r="C331" i="3" s="1" a="1"/>
  <c r="C331" i="3" s="1"/>
  <c r="D331" i="3" s="1"/>
  <c r="B330" i="3"/>
  <c r="C330" i="3" s="1" a="1"/>
  <c r="C330" i="3" s="1"/>
  <c r="D330" i="3" s="1"/>
  <c r="B329" i="3"/>
  <c r="C329" i="3" s="1" a="1"/>
  <c r="C329" i="3" s="1"/>
  <c r="D329" i="3" s="1"/>
  <c r="B328" i="3"/>
  <c r="C328" i="3" s="1" a="1"/>
  <c r="C328" i="3" s="1"/>
  <c r="D328" i="3" s="1"/>
  <c r="B327" i="3"/>
  <c r="C327" i="3" s="1" a="1"/>
  <c r="C327" i="3" s="1"/>
  <c r="D327" i="3" s="1"/>
  <c r="B326" i="3"/>
  <c r="C326" i="3" s="1" a="1"/>
  <c r="C326" i="3" s="1"/>
  <c r="D326" i="3" s="1"/>
  <c r="B325" i="3"/>
  <c r="C325" i="3" s="1" a="1"/>
  <c r="C325" i="3" s="1"/>
  <c r="D325" i="3" s="1"/>
  <c r="B324" i="3"/>
  <c r="C324" i="3" s="1" a="1"/>
  <c r="C324" i="3" s="1"/>
  <c r="D324" i="3" s="1"/>
  <c r="B323" i="3"/>
  <c r="C323" i="3" s="1" a="1"/>
  <c r="C323" i="3" s="1"/>
  <c r="D323" i="3" s="1"/>
  <c r="B322" i="3"/>
  <c r="C322" i="3" s="1" a="1"/>
  <c r="C322" i="3" s="1"/>
  <c r="D322" i="3" s="1"/>
  <c r="B321" i="3"/>
  <c r="C321" i="3" s="1" a="1"/>
  <c r="C321" i="3" s="1"/>
  <c r="D321" i="3" s="1"/>
  <c r="B320" i="3"/>
  <c r="C320" i="3" s="1" a="1"/>
  <c r="C320" i="3" s="1"/>
  <c r="D320" i="3" s="1"/>
  <c r="B319" i="3"/>
  <c r="C319" i="3" s="1" a="1"/>
  <c r="C319" i="3" s="1"/>
  <c r="D319" i="3" s="1"/>
  <c r="B318" i="3"/>
  <c r="C318" i="3" s="1" a="1"/>
  <c r="C318" i="3" s="1"/>
  <c r="D318" i="3" s="1"/>
  <c r="B317" i="3"/>
  <c r="C317" i="3" s="1" a="1"/>
  <c r="C317" i="3" s="1"/>
  <c r="D317" i="3" s="1"/>
  <c r="B316" i="3"/>
  <c r="C316" i="3" s="1" a="1"/>
  <c r="C316" i="3" s="1"/>
  <c r="D316" i="3" s="1"/>
  <c r="B315" i="3"/>
  <c r="C315" i="3" s="1" a="1"/>
  <c r="C315" i="3" s="1"/>
  <c r="D315" i="3" s="1"/>
  <c r="B314" i="3"/>
  <c r="C314" i="3" s="1" a="1"/>
  <c r="C314" i="3" s="1"/>
  <c r="D314" i="3" s="1"/>
  <c r="B313" i="3"/>
  <c r="C313" i="3" s="1" a="1"/>
  <c r="C313" i="3" s="1"/>
  <c r="D313" i="3" s="1"/>
  <c r="B312" i="3"/>
  <c r="C312" i="3" s="1" a="1"/>
  <c r="C312" i="3" s="1"/>
  <c r="D312" i="3" s="1"/>
  <c r="B311" i="3"/>
  <c r="C311" i="3" s="1" a="1"/>
  <c r="C311" i="3" s="1"/>
  <c r="D311" i="3" s="1"/>
  <c r="B310" i="3"/>
  <c r="C310" i="3" s="1" a="1"/>
  <c r="C310" i="3" s="1"/>
  <c r="D310" i="3" s="1"/>
  <c r="B309" i="3"/>
  <c r="C309" i="3" s="1" a="1"/>
  <c r="C309" i="3" s="1"/>
  <c r="D309" i="3" s="1"/>
  <c r="B308" i="3"/>
  <c r="C308" i="3" s="1" a="1"/>
  <c r="C308" i="3" s="1"/>
  <c r="D308" i="3" s="1"/>
  <c r="B307" i="3"/>
  <c r="C307" i="3" s="1" a="1"/>
  <c r="C307" i="3" s="1"/>
  <c r="D307" i="3" s="1"/>
  <c r="B306" i="3"/>
  <c r="C306" i="3" s="1" a="1"/>
  <c r="C306" i="3" s="1"/>
  <c r="D306" i="3" s="1"/>
  <c r="B305" i="3"/>
  <c r="C305" i="3" s="1" a="1"/>
  <c r="C305" i="3" s="1"/>
  <c r="D305" i="3" s="1"/>
  <c r="B304" i="3"/>
  <c r="C304" i="3" s="1" a="1"/>
  <c r="C304" i="3" s="1"/>
  <c r="D304" i="3" s="1"/>
  <c r="B303" i="3"/>
  <c r="C303" i="3" s="1" a="1"/>
  <c r="C303" i="3" s="1"/>
  <c r="D303" i="3" s="1"/>
  <c r="B302" i="3"/>
  <c r="C302" i="3" s="1" a="1"/>
  <c r="C302" i="3" s="1"/>
  <c r="D302" i="3" s="1"/>
  <c r="B301" i="3"/>
  <c r="C301" i="3" s="1" a="1"/>
  <c r="C301" i="3" s="1"/>
  <c r="D301" i="3" s="1"/>
  <c r="B300" i="3"/>
  <c r="C300" i="3" s="1" a="1"/>
  <c r="C300" i="3" s="1"/>
  <c r="D300" i="3" s="1"/>
  <c r="B299" i="3"/>
  <c r="C299" i="3" s="1" a="1"/>
  <c r="C299" i="3" s="1"/>
  <c r="D299" i="3" s="1"/>
  <c r="B298" i="3"/>
  <c r="C298" i="3" s="1" a="1"/>
  <c r="C298" i="3" s="1"/>
  <c r="D298" i="3" s="1"/>
  <c r="B297" i="3"/>
  <c r="C297" i="3" s="1" a="1"/>
  <c r="C297" i="3" s="1"/>
  <c r="D297" i="3" s="1"/>
  <c r="B296" i="3"/>
  <c r="C296" i="3" s="1" a="1"/>
  <c r="C296" i="3" s="1"/>
  <c r="D296" i="3" s="1"/>
  <c r="B295" i="3"/>
  <c r="C295" i="3" s="1" a="1"/>
  <c r="C295" i="3" s="1"/>
  <c r="D295" i="3" s="1"/>
  <c r="B294" i="3"/>
  <c r="C294" i="3" s="1" a="1"/>
  <c r="C294" i="3" s="1"/>
  <c r="D294" i="3" s="1"/>
  <c r="B293" i="3"/>
  <c r="C293" i="3" s="1" a="1"/>
  <c r="C293" i="3" s="1"/>
  <c r="D293" i="3" s="1"/>
  <c r="B292" i="3"/>
  <c r="C292" i="3" s="1" a="1"/>
  <c r="C292" i="3" s="1"/>
  <c r="D292" i="3" s="1"/>
  <c r="B291" i="3"/>
  <c r="C291" i="3" s="1" a="1"/>
  <c r="C291" i="3" s="1"/>
  <c r="D291" i="3" s="1"/>
  <c r="B290" i="3"/>
  <c r="C290" i="3" s="1" a="1"/>
  <c r="C290" i="3" s="1"/>
  <c r="D290" i="3" s="1"/>
  <c r="B289" i="3"/>
  <c r="C289" i="3" s="1" a="1"/>
  <c r="C289" i="3" s="1"/>
  <c r="D289" i="3" s="1"/>
  <c r="B288" i="3"/>
  <c r="C288" i="3" s="1" a="1"/>
  <c r="C288" i="3" s="1"/>
  <c r="D288" i="3" s="1"/>
  <c r="B287" i="3"/>
  <c r="C287" i="3" s="1" a="1"/>
  <c r="C287" i="3" s="1"/>
  <c r="D287" i="3" s="1"/>
  <c r="B286" i="3"/>
  <c r="C286" i="3" s="1" a="1"/>
  <c r="C286" i="3" s="1"/>
  <c r="D286" i="3" s="1"/>
  <c r="B285" i="3"/>
  <c r="C285" i="3" s="1" a="1"/>
  <c r="C285" i="3" s="1"/>
  <c r="D285" i="3" s="1"/>
  <c r="B284" i="3"/>
  <c r="C284" i="3" s="1" a="1"/>
  <c r="C284" i="3" s="1"/>
  <c r="D284" i="3" s="1"/>
  <c r="B283" i="3"/>
  <c r="C283" i="3" s="1" a="1"/>
  <c r="C283" i="3" s="1"/>
  <c r="D283" i="3" s="1"/>
  <c r="B282" i="3"/>
  <c r="C282" i="3" s="1" a="1"/>
  <c r="C282" i="3" s="1"/>
  <c r="D282" i="3" s="1"/>
  <c r="B281" i="3"/>
  <c r="C281" i="3" s="1" a="1"/>
  <c r="C281" i="3" s="1"/>
  <c r="D281" i="3" s="1"/>
  <c r="B280" i="3"/>
  <c r="C280" i="3" s="1" a="1"/>
  <c r="C280" i="3" s="1"/>
  <c r="D280" i="3" s="1"/>
  <c r="B279" i="3"/>
  <c r="C279" i="3" s="1" a="1"/>
  <c r="C279" i="3" s="1"/>
  <c r="D279" i="3" s="1"/>
  <c r="B278" i="3"/>
  <c r="C278" i="3" s="1" a="1"/>
  <c r="C278" i="3" s="1"/>
  <c r="D278" i="3" s="1"/>
  <c r="B277" i="3"/>
  <c r="C277" i="3" s="1" a="1"/>
  <c r="C277" i="3" s="1"/>
  <c r="D277" i="3" s="1"/>
  <c r="B276" i="3"/>
  <c r="C276" i="3" s="1" a="1"/>
  <c r="C276" i="3" s="1"/>
  <c r="D276" i="3" s="1"/>
  <c r="B275" i="3"/>
  <c r="C275" i="3" s="1" a="1"/>
  <c r="C275" i="3" s="1"/>
  <c r="D275" i="3" s="1"/>
  <c r="B274" i="3"/>
  <c r="C274" i="3" s="1" a="1"/>
  <c r="C274" i="3" s="1"/>
  <c r="D274" i="3" s="1"/>
  <c r="B273" i="3"/>
  <c r="C273" i="3" s="1" a="1"/>
  <c r="C273" i="3" s="1"/>
  <c r="D273" i="3" s="1"/>
  <c r="B272" i="3"/>
  <c r="C272" i="3" s="1" a="1"/>
  <c r="C272" i="3" s="1"/>
  <c r="D272" i="3" s="1"/>
  <c r="B271" i="3"/>
  <c r="C271" i="3" s="1" a="1"/>
  <c r="C271" i="3" s="1"/>
  <c r="D271" i="3" s="1"/>
  <c r="B270" i="3"/>
  <c r="C270" i="3" s="1" a="1"/>
  <c r="C270" i="3" s="1"/>
  <c r="D270" i="3" s="1"/>
  <c r="B269" i="3"/>
  <c r="C269" i="3" s="1" a="1"/>
  <c r="C269" i="3" s="1"/>
  <c r="D269" i="3" s="1"/>
  <c r="B268" i="3"/>
  <c r="C268" i="3" s="1" a="1"/>
  <c r="C268" i="3" s="1"/>
  <c r="D268" i="3" s="1"/>
  <c r="B267" i="3"/>
  <c r="C267" i="3" s="1" a="1"/>
  <c r="C267" i="3" s="1"/>
  <c r="D267" i="3" s="1"/>
  <c r="B266" i="3"/>
  <c r="C266" i="3" s="1" a="1"/>
  <c r="C266" i="3" s="1"/>
  <c r="D266" i="3" s="1"/>
  <c r="B265" i="3"/>
  <c r="C265" i="3" s="1" a="1"/>
  <c r="C265" i="3" s="1"/>
  <c r="D265" i="3" s="1"/>
  <c r="B264" i="3"/>
  <c r="C264" i="3" s="1" a="1"/>
  <c r="C264" i="3" s="1"/>
  <c r="D264" i="3" s="1"/>
  <c r="B263" i="3"/>
  <c r="C263" i="3" s="1" a="1"/>
  <c r="C263" i="3" s="1"/>
  <c r="D263" i="3" s="1"/>
  <c r="B262" i="3"/>
  <c r="C262" i="3" s="1" a="1"/>
  <c r="C262" i="3" s="1"/>
  <c r="D262" i="3" s="1"/>
  <c r="B261" i="3"/>
  <c r="C261" i="3" s="1" a="1"/>
  <c r="C261" i="3" s="1"/>
  <c r="D261" i="3" s="1"/>
  <c r="B260" i="3"/>
  <c r="C260" i="3" s="1" a="1"/>
  <c r="C260" i="3" s="1"/>
  <c r="D260" i="3" s="1"/>
  <c r="B259" i="3"/>
  <c r="C259" i="3" s="1" a="1"/>
  <c r="C259" i="3" s="1"/>
  <c r="D259" i="3" s="1"/>
  <c r="B258" i="3"/>
  <c r="C258" i="3" s="1" a="1"/>
  <c r="C258" i="3" s="1"/>
  <c r="D258" i="3" s="1"/>
  <c r="B257" i="3"/>
  <c r="C257" i="3" s="1" a="1"/>
  <c r="C257" i="3" s="1"/>
  <c r="D257" i="3" s="1"/>
  <c r="B256" i="3"/>
  <c r="C256" i="3" s="1" a="1"/>
  <c r="C256" i="3" s="1"/>
  <c r="D256" i="3" s="1"/>
  <c r="B255" i="3"/>
  <c r="C255" i="3" s="1" a="1"/>
  <c r="C255" i="3" s="1"/>
  <c r="D255" i="3" s="1"/>
  <c r="B254" i="3"/>
  <c r="C254" i="3" s="1" a="1"/>
  <c r="C254" i="3" s="1"/>
  <c r="D254" i="3" s="1"/>
  <c r="B253" i="3"/>
  <c r="C253" i="3" s="1" a="1"/>
  <c r="C253" i="3" s="1"/>
  <c r="D253" i="3" s="1"/>
  <c r="B252" i="3"/>
  <c r="C252" i="3" s="1" a="1"/>
  <c r="C252" i="3" s="1"/>
  <c r="D252" i="3" s="1"/>
  <c r="B251" i="3"/>
  <c r="C251" i="3" s="1" a="1"/>
  <c r="C251" i="3" s="1"/>
  <c r="D251" i="3" s="1"/>
  <c r="B250" i="3"/>
  <c r="C250" i="3" s="1" a="1"/>
  <c r="C250" i="3" s="1"/>
  <c r="D250" i="3" s="1"/>
  <c r="B249" i="3"/>
  <c r="C249" i="3" s="1" a="1"/>
  <c r="C249" i="3" s="1"/>
  <c r="D249" i="3" s="1"/>
  <c r="B248" i="3"/>
  <c r="C248" i="3" s="1" a="1"/>
  <c r="C248" i="3" s="1"/>
  <c r="D248" i="3" s="1"/>
  <c r="B247" i="3"/>
  <c r="C247" i="3" s="1" a="1"/>
  <c r="C247" i="3" s="1"/>
  <c r="D247" i="3" s="1"/>
  <c r="B246" i="3"/>
  <c r="C246" i="3" s="1" a="1"/>
  <c r="C246" i="3" s="1"/>
  <c r="D246" i="3" s="1"/>
  <c r="B245" i="3"/>
  <c r="C245" i="3" s="1" a="1"/>
  <c r="C245" i="3" s="1"/>
  <c r="D245" i="3" s="1"/>
  <c r="B244" i="3"/>
  <c r="C244" i="3" s="1" a="1"/>
  <c r="C244" i="3" s="1"/>
  <c r="D244" i="3" s="1"/>
  <c r="B243" i="3"/>
  <c r="C243" i="3" s="1" a="1"/>
  <c r="C243" i="3" s="1"/>
  <c r="D243" i="3" s="1"/>
  <c r="B242" i="3"/>
  <c r="C242" i="3" s="1" a="1"/>
  <c r="C242" i="3" s="1"/>
  <c r="D242" i="3" s="1"/>
  <c r="B241" i="3"/>
  <c r="C241" i="3" s="1" a="1"/>
  <c r="C241" i="3" s="1"/>
  <c r="D241" i="3" s="1"/>
  <c r="B240" i="3"/>
  <c r="C240" i="3" s="1" a="1"/>
  <c r="C240" i="3" s="1"/>
  <c r="D240" i="3" s="1"/>
  <c r="B239" i="3"/>
  <c r="C239" i="3" s="1" a="1"/>
  <c r="C239" i="3" s="1"/>
  <c r="D239" i="3" s="1"/>
  <c r="B238" i="3"/>
  <c r="C238" i="3" s="1" a="1"/>
  <c r="C238" i="3" s="1"/>
  <c r="D238" i="3" s="1"/>
  <c r="B237" i="3"/>
  <c r="C237" i="3" s="1" a="1"/>
  <c r="C237" i="3" s="1"/>
  <c r="D237" i="3" s="1"/>
  <c r="B236" i="3"/>
  <c r="C236" i="3" s="1" a="1"/>
  <c r="C236" i="3" s="1"/>
  <c r="D236" i="3" s="1"/>
  <c r="B235" i="3"/>
  <c r="C235" i="3" s="1" a="1"/>
  <c r="C235" i="3" s="1"/>
  <c r="D235" i="3" s="1"/>
  <c r="B234" i="3"/>
  <c r="C234" i="3" s="1" a="1"/>
  <c r="C234" i="3" s="1"/>
  <c r="D234" i="3" s="1"/>
  <c r="B233" i="3"/>
  <c r="C233" i="3" s="1" a="1"/>
  <c r="C233" i="3" s="1"/>
  <c r="D233" i="3" s="1"/>
  <c r="B232" i="3"/>
  <c r="C232" i="3" s="1" a="1"/>
  <c r="C232" i="3" s="1"/>
  <c r="D232" i="3" s="1"/>
  <c r="B231" i="3"/>
  <c r="C231" i="3" s="1" a="1"/>
  <c r="C231" i="3" s="1"/>
  <c r="D231" i="3" s="1"/>
  <c r="B230" i="3"/>
  <c r="C230" i="3" s="1" a="1"/>
  <c r="C230" i="3" s="1"/>
  <c r="D230" i="3" s="1"/>
  <c r="B229" i="3"/>
  <c r="C229" i="3" s="1" a="1"/>
  <c r="C229" i="3" s="1"/>
  <c r="D229" i="3" s="1"/>
  <c r="B228" i="3"/>
  <c r="C228" i="3" s="1" a="1"/>
  <c r="C228" i="3" s="1"/>
  <c r="D228" i="3" s="1"/>
  <c r="B227" i="3"/>
  <c r="C227" i="3" s="1" a="1"/>
  <c r="C227" i="3" s="1"/>
  <c r="D227" i="3" s="1"/>
  <c r="B226" i="3"/>
  <c r="C226" i="3" s="1" a="1"/>
  <c r="C226" i="3" s="1"/>
  <c r="D226" i="3" s="1"/>
  <c r="B225" i="3"/>
  <c r="C225" i="3" s="1" a="1"/>
  <c r="C225" i="3" s="1"/>
  <c r="D225" i="3" s="1"/>
  <c r="B224" i="3"/>
  <c r="C224" i="3" s="1" a="1"/>
  <c r="C224" i="3" s="1"/>
  <c r="D224" i="3" s="1"/>
  <c r="B223" i="3"/>
  <c r="C223" i="3" s="1" a="1"/>
  <c r="C223" i="3" s="1"/>
  <c r="D223" i="3" s="1"/>
  <c r="B222" i="3"/>
  <c r="C222" i="3" s="1" a="1"/>
  <c r="C222" i="3" s="1"/>
  <c r="D222" i="3" s="1"/>
  <c r="B221" i="3"/>
  <c r="C221" i="3" s="1" a="1"/>
  <c r="C221" i="3" s="1"/>
  <c r="D221" i="3" s="1"/>
  <c r="B220" i="3"/>
  <c r="C220" i="3" s="1" a="1"/>
  <c r="C220" i="3" s="1"/>
  <c r="D220" i="3" s="1"/>
  <c r="B219" i="3"/>
  <c r="C219" i="3" s="1" a="1"/>
  <c r="C219" i="3" s="1"/>
  <c r="D219" i="3" s="1"/>
  <c r="B218" i="3"/>
  <c r="C218" i="3" s="1" a="1"/>
  <c r="C218" i="3" s="1"/>
  <c r="D218" i="3" s="1"/>
  <c r="B217" i="3"/>
  <c r="C217" i="3" s="1" a="1"/>
  <c r="C217" i="3" s="1"/>
  <c r="D217" i="3" s="1"/>
  <c r="B216" i="3"/>
  <c r="C216" i="3" s="1" a="1"/>
  <c r="C216" i="3" s="1"/>
  <c r="D216" i="3" s="1"/>
  <c r="B215" i="3"/>
  <c r="C215" i="3" s="1" a="1"/>
  <c r="C215" i="3" s="1"/>
  <c r="D215" i="3" s="1"/>
  <c r="B214" i="3"/>
  <c r="C214" i="3" s="1" a="1"/>
  <c r="C214" i="3" s="1"/>
  <c r="D214" i="3" s="1"/>
  <c r="B213" i="3"/>
  <c r="C213" i="3" s="1" a="1"/>
  <c r="C213" i="3" s="1"/>
  <c r="D213" i="3" s="1"/>
  <c r="B212" i="3"/>
  <c r="C212" i="3" s="1" a="1"/>
  <c r="C212" i="3" s="1"/>
  <c r="D212" i="3" s="1"/>
  <c r="B211" i="3"/>
  <c r="C211" i="3" s="1" a="1"/>
  <c r="C211" i="3" s="1"/>
  <c r="D211" i="3" s="1"/>
  <c r="B210" i="3"/>
  <c r="C210" i="3" s="1" a="1"/>
  <c r="C210" i="3" s="1"/>
  <c r="D210" i="3" s="1"/>
  <c r="B209" i="3"/>
  <c r="C209" i="3" s="1" a="1"/>
  <c r="C209" i="3" s="1"/>
  <c r="D209" i="3" s="1"/>
  <c r="B208" i="3"/>
  <c r="C208" i="3" s="1" a="1"/>
  <c r="C208" i="3" s="1"/>
  <c r="D208" i="3" s="1"/>
  <c r="B207" i="3"/>
  <c r="C207" i="3" s="1" a="1"/>
  <c r="C207" i="3" s="1"/>
  <c r="D207" i="3" s="1"/>
  <c r="B206" i="3"/>
  <c r="C206" i="3" s="1" a="1"/>
  <c r="C206" i="3" s="1"/>
  <c r="D206" i="3" s="1"/>
  <c r="B205" i="3"/>
  <c r="C205" i="3" s="1" a="1"/>
  <c r="C205" i="3" s="1"/>
  <c r="D205" i="3" s="1"/>
  <c r="B204" i="3"/>
  <c r="C204" i="3" s="1" a="1"/>
  <c r="C204" i="3" s="1"/>
  <c r="D204" i="3" s="1"/>
  <c r="B203" i="3"/>
  <c r="C203" i="3" s="1" a="1"/>
  <c r="C203" i="3" s="1"/>
  <c r="D203" i="3" s="1"/>
  <c r="B202" i="3"/>
  <c r="C202" i="3" s="1" a="1"/>
  <c r="C202" i="3" s="1"/>
  <c r="D202" i="3" s="1"/>
  <c r="B201" i="3"/>
  <c r="C201" i="3" s="1" a="1"/>
  <c r="C201" i="3" s="1"/>
  <c r="D201" i="3" s="1"/>
  <c r="B200" i="3"/>
  <c r="C200" i="3" s="1" a="1"/>
  <c r="C200" i="3" s="1"/>
  <c r="D200" i="3" s="1"/>
  <c r="B199" i="3"/>
  <c r="C199" i="3" s="1" a="1"/>
  <c r="C199" i="3" s="1"/>
  <c r="D199" i="3" s="1"/>
  <c r="B198" i="3"/>
  <c r="C198" i="3" s="1" a="1"/>
  <c r="C198" i="3" s="1"/>
  <c r="D198" i="3" s="1"/>
  <c r="B197" i="3"/>
  <c r="C197" i="3" s="1" a="1"/>
  <c r="C197" i="3" s="1"/>
  <c r="D197" i="3" s="1"/>
  <c r="B196" i="3"/>
  <c r="C196" i="3" s="1" a="1"/>
  <c r="C196" i="3" s="1"/>
  <c r="D196" i="3" s="1"/>
  <c r="B195" i="3"/>
  <c r="C195" i="3" s="1" a="1"/>
  <c r="C195" i="3" s="1"/>
  <c r="D195" i="3" s="1"/>
  <c r="B194" i="3"/>
  <c r="C194" i="3" s="1" a="1"/>
  <c r="C194" i="3" s="1"/>
  <c r="D194" i="3" s="1"/>
  <c r="B193" i="3"/>
  <c r="C193" i="3" s="1" a="1"/>
  <c r="C193" i="3" s="1"/>
  <c r="D193" i="3" s="1"/>
  <c r="B192" i="3"/>
  <c r="C192" i="3" s="1" a="1"/>
  <c r="C192" i="3" s="1"/>
  <c r="D192" i="3" s="1"/>
  <c r="B191" i="3"/>
  <c r="C191" i="3" s="1" a="1"/>
  <c r="C191" i="3" s="1"/>
  <c r="D191" i="3" s="1"/>
  <c r="B190" i="3"/>
  <c r="C190" i="3" s="1" a="1"/>
  <c r="C190" i="3" s="1"/>
  <c r="D190" i="3" s="1"/>
  <c r="B189" i="3"/>
  <c r="C189" i="3" s="1" a="1"/>
  <c r="C189" i="3" s="1"/>
  <c r="D189" i="3" s="1"/>
  <c r="B188" i="3"/>
  <c r="C188" i="3" s="1" a="1"/>
  <c r="C188" i="3" s="1"/>
  <c r="D188" i="3" s="1"/>
  <c r="B187" i="3"/>
  <c r="C187" i="3" s="1" a="1"/>
  <c r="C187" i="3" s="1"/>
  <c r="D187" i="3" s="1"/>
  <c r="B186" i="3"/>
  <c r="C186" i="3" s="1" a="1"/>
  <c r="C186" i="3" s="1"/>
  <c r="D186" i="3" s="1"/>
  <c r="B185" i="3"/>
  <c r="C185" i="3" s="1" a="1"/>
  <c r="C185" i="3" s="1"/>
  <c r="D185" i="3" s="1"/>
  <c r="B184" i="3"/>
  <c r="C184" i="3" s="1" a="1"/>
  <c r="C184" i="3" s="1"/>
  <c r="D184" i="3" s="1"/>
  <c r="B183" i="3"/>
  <c r="C183" i="3" s="1" a="1"/>
  <c r="C183" i="3" s="1"/>
  <c r="D183" i="3" s="1"/>
  <c r="B182" i="3"/>
  <c r="C182" i="3" s="1" a="1"/>
  <c r="C182" i="3" s="1"/>
  <c r="D182" i="3" s="1"/>
  <c r="B181" i="3"/>
  <c r="C181" i="3" s="1" a="1"/>
  <c r="C181" i="3" s="1"/>
  <c r="D181" i="3" s="1"/>
  <c r="B180" i="3"/>
  <c r="C180" i="3" s="1" a="1"/>
  <c r="C180" i="3" s="1"/>
  <c r="D180" i="3" s="1"/>
  <c r="B179" i="3"/>
  <c r="C179" i="3" s="1" a="1"/>
  <c r="C179" i="3" s="1"/>
  <c r="D179" i="3" s="1"/>
  <c r="B178" i="3"/>
  <c r="C178" i="3" s="1" a="1"/>
  <c r="C178" i="3" s="1"/>
  <c r="D178" i="3" s="1"/>
  <c r="B177" i="3"/>
  <c r="C177" i="3" s="1" a="1"/>
  <c r="C177" i="3" s="1"/>
  <c r="D177" i="3" s="1"/>
  <c r="B176" i="3"/>
  <c r="C176" i="3" s="1" a="1"/>
  <c r="C176" i="3" s="1"/>
  <c r="D176" i="3" s="1"/>
  <c r="B175" i="3"/>
  <c r="C175" i="3" s="1" a="1"/>
  <c r="C175" i="3" s="1"/>
  <c r="D175" i="3" s="1"/>
  <c r="B174" i="3"/>
  <c r="C174" i="3" s="1" a="1"/>
  <c r="C174" i="3" s="1"/>
  <c r="D174" i="3" s="1"/>
  <c r="B173" i="3"/>
  <c r="C173" i="3" s="1" a="1"/>
  <c r="C173" i="3" s="1"/>
  <c r="D173" i="3" s="1"/>
  <c r="B172" i="3"/>
  <c r="C172" i="3" s="1" a="1"/>
  <c r="C172" i="3" s="1"/>
  <c r="D172" i="3" s="1"/>
  <c r="B171" i="3"/>
  <c r="C171" i="3" s="1" a="1"/>
  <c r="C171" i="3" s="1"/>
  <c r="D171" i="3" s="1"/>
  <c r="B170" i="3"/>
  <c r="C170" i="3" s="1" a="1"/>
  <c r="C170" i="3" s="1"/>
  <c r="D170" i="3" s="1"/>
  <c r="B169" i="3"/>
  <c r="C169" i="3" s="1" a="1"/>
  <c r="C169" i="3" s="1"/>
  <c r="D169" i="3" s="1"/>
  <c r="B168" i="3"/>
  <c r="C168" i="3" s="1" a="1"/>
  <c r="C168" i="3" s="1"/>
  <c r="D168" i="3" s="1"/>
  <c r="B167" i="3"/>
  <c r="C167" i="3" s="1" a="1"/>
  <c r="C167" i="3" s="1"/>
  <c r="D167" i="3" s="1"/>
  <c r="B166" i="3"/>
  <c r="C166" i="3" s="1" a="1"/>
  <c r="C166" i="3" s="1"/>
  <c r="D166" i="3" s="1"/>
  <c r="B165" i="3"/>
  <c r="C165" i="3" s="1" a="1"/>
  <c r="C165" i="3" s="1"/>
  <c r="D165" i="3" s="1"/>
  <c r="B164" i="3"/>
  <c r="C164" i="3" s="1" a="1"/>
  <c r="C164" i="3" s="1"/>
  <c r="D164" i="3" s="1"/>
  <c r="B163" i="3"/>
  <c r="C163" i="3" s="1" a="1"/>
  <c r="C163" i="3" s="1"/>
  <c r="D163" i="3" s="1"/>
  <c r="B162" i="3"/>
  <c r="C162" i="3" s="1" a="1"/>
  <c r="C162" i="3" s="1"/>
  <c r="D162" i="3" s="1"/>
  <c r="B161" i="3"/>
  <c r="C161" i="3" s="1" a="1"/>
  <c r="C161" i="3" s="1"/>
  <c r="D161" i="3" s="1"/>
  <c r="B160" i="3"/>
  <c r="C160" i="3" s="1" a="1"/>
  <c r="C160" i="3" s="1"/>
  <c r="D160" i="3" s="1"/>
  <c r="B159" i="3"/>
  <c r="C159" i="3" s="1" a="1"/>
  <c r="C159" i="3" s="1"/>
  <c r="D159" i="3" s="1"/>
  <c r="B158" i="3"/>
  <c r="C158" i="3" s="1" a="1"/>
  <c r="C158" i="3" s="1"/>
  <c r="D158" i="3" s="1"/>
  <c r="B157" i="3"/>
  <c r="C157" i="3" s="1" a="1"/>
  <c r="C157" i="3" s="1"/>
  <c r="D157" i="3" s="1"/>
  <c r="B156" i="3"/>
  <c r="C156" i="3" s="1" a="1"/>
  <c r="C156" i="3" s="1"/>
  <c r="D156" i="3" s="1"/>
  <c r="B155" i="3"/>
  <c r="C155" i="3" s="1" a="1"/>
  <c r="C155" i="3" s="1"/>
  <c r="D155" i="3" s="1"/>
  <c r="B154" i="3"/>
  <c r="C154" i="3" s="1" a="1"/>
  <c r="C154" i="3" s="1"/>
  <c r="D154" i="3" s="1"/>
  <c r="B153" i="3"/>
  <c r="C153" i="3" s="1" a="1"/>
  <c r="C153" i="3" s="1"/>
  <c r="D153" i="3" s="1"/>
  <c r="B152" i="3"/>
  <c r="C152" i="3" s="1" a="1"/>
  <c r="C152" i="3" s="1"/>
  <c r="D152" i="3" s="1"/>
  <c r="B151" i="3"/>
  <c r="C151" i="3" s="1" a="1"/>
  <c r="C151" i="3" s="1"/>
  <c r="D151" i="3" s="1"/>
  <c r="B150" i="3"/>
  <c r="C150" i="3" s="1" a="1"/>
  <c r="C150" i="3" s="1"/>
  <c r="D150" i="3" s="1"/>
  <c r="B149" i="3"/>
  <c r="C149" i="3" s="1" a="1"/>
  <c r="C149" i="3" s="1"/>
  <c r="D149" i="3" s="1"/>
  <c r="B148" i="3"/>
  <c r="C148" i="3" s="1" a="1"/>
  <c r="C148" i="3" s="1"/>
  <c r="D148" i="3" s="1"/>
  <c r="B147" i="3"/>
  <c r="C147" i="3" s="1" a="1"/>
  <c r="C147" i="3" s="1"/>
  <c r="D147" i="3" s="1"/>
  <c r="B146" i="3"/>
  <c r="C146" i="3" s="1" a="1"/>
  <c r="C146" i="3" s="1"/>
  <c r="D146" i="3" s="1"/>
  <c r="B145" i="3"/>
  <c r="C145" i="3" s="1" a="1"/>
  <c r="C145" i="3" s="1"/>
  <c r="D145" i="3" s="1"/>
  <c r="B144" i="3"/>
  <c r="C144" i="3" s="1" a="1"/>
  <c r="C144" i="3" s="1"/>
  <c r="D144" i="3" s="1"/>
  <c r="B143" i="3"/>
  <c r="C143" i="3" s="1" a="1"/>
  <c r="C143" i="3" s="1"/>
  <c r="D143" i="3" s="1"/>
  <c r="B142" i="3"/>
  <c r="C142" i="3" s="1" a="1"/>
  <c r="C142" i="3" s="1"/>
  <c r="D142" i="3" s="1"/>
  <c r="B141" i="3"/>
  <c r="C141" i="3" s="1" a="1"/>
  <c r="C141" i="3" s="1"/>
  <c r="D141" i="3" s="1"/>
  <c r="B140" i="3"/>
  <c r="C140" i="3" s="1" a="1"/>
  <c r="C140" i="3" s="1"/>
  <c r="D140" i="3" s="1"/>
  <c r="B139" i="3"/>
  <c r="C139" i="3" s="1" a="1"/>
  <c r="C139" i="3" s="1"/>
  <c r="D139" i="3" s="1"/>
  <c r="B138" i="3"/>
  <c r="C138" i="3" s="1" a="1"/>
  <c r="C138" i="3" s="1"/>
  <c r="D138" i="3" s="1"/>
  <c r="B137" i="3"/>
  <c r="C137" i="3" s="1" a="1"/>
  <c r="C137" i="3" s="1"/>
  <c r="D137" i="3" s="1"/>
  <c r="B136" i="3"/>
  <c r="C136" i="3" s="1" a="1"/>
  <c r="C136" i="3" s="1"/>
  <c r="D136" i="3" s="1"/>
  <c r="B135" i="3"/>
  <c r="C135" i="3" s="1" a="1"/>
  <c r="C135" i="3" s="1"/>
  <c r="D135" i="3" s="1"/>
  <c r="B134" i="3"/>
  <c r="C134" i="3" s="1" a="1"/>
  <c r="C134" i="3" s="1"/>
  <c r="D134" i="3" s="1"/>
  <c r="B133" i="3"/>
  <c r="C133" i="3" s="1" a="1"/>
  <c r="C133" i="3" s="1"/>
  <c r="D133" i="3" s="1"/>
  <c r="B132" i="3"/>
  <c r="C132" i="3" s="1" a="1"/>
  <c r="C132" i="3" s="1"/>
  <c r="D132" i="3" s="1"/>
  <c r="B131" i="3"/>
  <c r="C131" i="3" s="1" a="1"/>
  <c r="C131" i="3" s="1"/>
  <c r="D131" i="3" s="1"/>
  <c r="B130" i="3"/>
  <c r="C130" i="3" s="1" a="1"/>
  <c r="C130" i="3" s="1"/>
  <c r="D130" i="3" s="1"/>
  <c r="B129" i="3"/>
  <c r="C129" i="3" s="1" a="1"/>
  <c r="C129" i="3" s="1"/>
  <c r="D129" i="3" s="1"/>
  <c r="B128" i="3"/>
  <c r="C128" i="3" s="1" a="1"/>
  <c r="C128" i="3" s="1"/>
  <c r="D128" i="3" s="1"/>
  <c r="B127" i="3"/>
  <c r="C127" i="3" s="1" a="1"/>
  <c r="C127" i="3" s="1"/>
  <c r="D127" i="3" s="1"/>
  <c r="B126" i="3"/>
  <c r="C126" i="3" s="1" a="1"/>
  <c r="C126" i="3" s="1"/>
  <c r="D126" i="3" s="1"/>
  <c r="B125" i="3"/>
  <c r="C125" i="3" s="1" a="1"/>
  <c r="C125" i="3" s="1"/>
  <c r="D125" i="3" s="1"/>
  <c r="B124" i="3"/>
  <c r="C124" i="3" s="1" a="1"/>
  <c r="C124" i="3" s="1"/>
  <c r="D124" i="3" s="1"/>
  <c r="B123" i="3"/>
  <c r="C123" i="3" s="1" a="1"/>
  <c r="C123" i="3" s="1"/>
  <c r="D123" i="3" s="1"/>
  <c r="B122" i="3"/>
  <c r="C122" i="3" s="1" a="1"/>
  <c r="C122" i="3" s="1"/>
  <c r="D122" i="3" s="1"/>
  <c r="B121" i="3"/>
  <c r="C121" i="3" s="1" a="1"/>
  <c r="C121" i="3" s="1"/>
  <c r="D121" i="3" s="1"/>
  <c r="B120" i="3"/>
  <c r="C120" i="3" s="1" a="1"/>
  <c r="C120" i="3" s="1"/>
  <c r="D120" i="3" s="1"/>
  <c r="B119" i="3"/>
  <c r="C119" i="3" s="1" a="1"/>
  <c r="C119" i="3" s="1"/>
  <c r="D119" i="3" s="1"/>
  <c r="B118" i="3"/>
  <c r="C118" i="3" s="1" a="1"/>
  <c r="C118" i="3" s="1"/>
  <c r="D118" i="3" s="1"/>
  <c r="B117" i="3"/>
  <c r="C117" i="3" s="1" a="1"/>
  <c r="C117" i="3" s="1"/>
  <c r="D117" i="3" s="1"/>
  <c r="B116" i="3"/>
  <c r="C116" i="3" s="1" a="1"/>
  <c r="C116" i="3" s="1"/>
  <c r="D116" i="3" s="1"/>
  <c r="B115" i="3"/>
  <c r="C115" i="3" s="1" a="1"/>
  <c r="C115" i="3" s="1"/>
  <c r="D115" i="3" s="1"/>
  <c r="B114" i="3"/>
  <c r="C114" i="3" s="1" a="1"/>
  <c r="C114" i="3" s="1"/>
  <c r="D114" i="3" s="1"/>
  <c r="B113" i="3"/>
  <c r="C113" i="3" s="1" a="1"/>
  <c r="C113" i="3" s="1"/>
  <c r="D113" i="3" s="1"/>
  <c r="B112" i="3"/>
  <c r="C112" i="3" s="1" a="1"/>
  <c r="C112" i="3" s="1"/>
  <c r="D112" i="3" s="1"/>
  <c r="B111" i="3"/>
  <c r="C111" i="3" s="1" a="1"/>
  <c r="C111" i="3" s="1"/>
  <c r="D111" i="3" s="1"/>
  <c r="B110" i="3"/>
  <c r="C110" i="3" s="1" a="1"/>
  <c r="C110" i="3" s="1"/>
  <c r="D110" i="3" s="1"/>
  <c r="B109" i="3"/>
  <c r="C109" i="3" s="1" a="1"/>
  <c r="C109" i="3" s="1"/>
  <c r="D109" i="3" s="1"/>
  <c r="B108" i="3"/>
  <c r="C108" i="3" s="1" a="1"/>
  <c r="C108" i="3" s="1"/>
  <c r="D108" i="3" s="1"/>
  <c r="B107" i="3"/>
  <c r="C107" i="3" s="1" a="1"/>
  <c r="C107" i="3" s="1"/>
  <c r="D107" i="3" s="1"/>
  <c r="B106" i="3"/>
  <c r="C106" i="3" s="1" a="1"/>
  <c r="C106" i="3" s="1"/>
  <c r="D106" i="3" s="1"/>
  <c r="B105" i="3"/>
  <c r="C105" i="3" s="1" a="1"/>
  <c r="C105" i="3" s="1"/>
  <c r="D105" i="3" s="1"/>
  <c r="B104" i="3"/>
  <c r="C104" i="3" s="1" a="1"/>
  <c r="C104" i="3" s="1"/>
  <c r="D104" i="3" s="1"/>
  <c r="B103" i="3"/>
  <c r="C103" i="3" s="1" a="1"/>
  <c r="C103" i="3" s="1"/>
  <c r="D103" i="3" s="1"/>
  <c r="B102" i="3"/>
  <c r="C102" i="3" s="1" a="1"/>
  <c r="C102" i="3" s="1"/>
  <c r="D102" i="3" s="1"/>
  <c r="B101" i="3"/>
  <c r="C101" i="3" s="1" a="1"/>
  <c r="C101" i="3" s="1"/>
  <c r="D101" i="3" s="1"/>
  <c r="B100" i="3"/>
  <c r="C100" i="3" s="1" a="1"/>
  <c r="C100" i="3" s="1"/>
  <c r="D100" i="3" s="1"/>
  <c r="B99" i="3"/>
  <c r="C99" i="3" s="1" a="1"/>
  <c r="C99" i="3" s="1"/>
  <c r="D99" i="3" s="1"/>
  <c r="B98" i="3"/>
  <c r="C98" i="3" s="1" a="1"/>
  <c r="C98" i="3" s="1"/>
  <c r="D98" i="3" s="1"/>
  <c r="B97" i="3"/>
  <c r="C97" i="3" s="1" a="1"/>
  <c r="C97" i="3" s="1"/>
  <c r="D97" i="3" s="1"/>
  <c r="B96" i="3"/>
  <c r="C96" i="3" s="1" a="1"/>
  <c r="C96" i="3" s="1"/>
  <c r="D96" i="3" s="1"/>
  <c r="B95" i="3"/>
  <c r="C95" i="3" s="1" a="1"/>
  <c r="C95" i="3" s="1"/>
  <c r="D95" i="3" s="1"/>
  <c r="B94" i="3"/>
  <c r="C94" i="3" s="1" a="1"/>
  <c r="C94" i="3" s="1"/>
  <c r="D94" i="3" s="1"/>
  <c r="B93" i="3"/>
  <c r="C93" i="3" s="1" a="1"/>
  <c r="C93" i="3" s="1"/>
  <c r="D93" i="3" s="1"/>
  <c r="B92" i="3"/>
  <c r="C92" i="3" s="1" a="1"/>
  <c r="C92" i="3" s="1"/>
  <c r="D92" i="3" s="1"/>
  <c r="B91" i="3"/>
  <c r="C91" i="3" s="1" a="1"/>
  <c r="C91" i="3" s="1"/>
  <c r="D91" i="3" s="1"/>
  <c r="B90" i="3"/>
  <c r="C90" i="3" s="1" a="1"/>
  <c r="C90" i="3" s="1"/>
  <c r="D90" i="3" s="1"/>
  <c r="B89" i="3"/>
  <c r="C89" i="3" s="1" a="1"/>
  <c r="C89" i="3" s="1"/>
  <c r="D89" i="3" s="1"/>
  <c r="B88" i="3"/>
  <c r="C88" i="3" s="1" a="1"/>
  <c r="C88" i="3" s="1"/>
  <c r="D88" i="3" s="1"/>
  <c r="B87" i="3"/>
  <c r="C87" i="3" s="1" a="1"/>
  <c r="C87" i="3" s="1"/>
  <c r="D87" i="3" s="1"/>
  <c r="B86" i="3"/>
  <c r="C86" i="3" s="1" a="1"/>
  <c r="C86" i="3" s="1"/>
  <c r="D86" i="3" s="1"/>
  <c r="B85" i="3"/>
  <c r="C85" i="3" s="1" a="1"/>
  <c r="C85" i="3" s="1"/>
  <c r="D85" i="3" s="1"/>
  <c r="B84" i="3"/>
  <c r="C84" i="3" s="1" a="1"/>
  <c r="C84" i="3" s="1"/>
  <c r="D84" i="3" s="1"/>
  <c r="B83" i="3"/>
  <c r="C83" i="3" s="1" a="1"/>
  <c r="C83" i="3" s="1"/>
  <c r="D83" i="3" s="1"/>
  <c r="B82" i="3"/>
  <c r="C82" i="3" s="1" a="1"/>
  <c r="C82" i="3" s="1"/>
  <c r="D82" i="3" s="1"/>
  <c r="B81" i="3"/>
  <c r="C81" i="3" s="1" a="1"/>
  <c r="C81" i="3" s="1"/>
  <c r="D81" i="3" s="1"/>
  <c r="B80" i="3"/>
  <c r="C80" i="3" s="1" a="1"/>
  <c r="C80" i="3" s="1"/>
  <c r="D80" i="3" s="1"/>
  <c r="B79" i="3"/>
  <c r="C79" i="3" s="1" a="1"/>
  <c r="C79" i="3" s="1"/>
  <c r="D79" i="3" s="1"/>
  <c r="B78" i="3"/>
  <c r="C78" i="3" s="1" a="1"/>
  <c r="C78" i="3" s="1"/>
  <c r="D78" i="3" s="1"/>
  <c r="B77" i="3"/>
  <c r="C77" i="3" s="1" a="1"/>
  <c r="C77" i="3" s="1"/>
  <c r="D77" i="3" s="1"/>
  <c r="B76" i="3"/>
  <c r="C76" i="3" s="1" a="1"/>
  <c r="C76" i="3" s="1"/>
  <c r="D76" i="3" s="1"/>
  <c r="B75" i="3"/>
  <c r="C75" i="3" s="1" a="1"/>
  <c r="C75" i="3" s="1"/>
  <c r="D75" i="3" s="1"/>
  <c r="B74" i="3"/>
  <c r="C74" i="3" s="1" a="1"/>
  <c r="C74" i="3" s="1"/>
  <c r="D74" i="3" s="1"/>
  <c r="B73" i="3"/>
  <c r="C73" i="3" s="1" a="1"/>
  <c r="C73" i="3" s="1"/>
  <c r="D73" i="3" s="1"/>
  <c r="B72" i="3"/>
  <c r="C72" i="3" s="1" a="1"/>
  <c r="C72" i="3" s="1"/>
  <c r="D72" i="3" s="1"/>
  <c r="B71" i="3"/>
  <c r="C71" i="3" s="1" a="1"/>
  <c r="C71" i="3" s="1"/>
  <c r="D71" i="3" s="1"/>
  <c r="B70" i="3"/>
  <c r="C70" i="3" s="1" a="1"/>
  <c r="C70" i="3" s="1"/>
  <c r="D70" i="3" s="1"/>
  <c r="B69" i="3"/>
  <c r="C69" i="3" s="1" a="1"/>
  <c r="C69" i="3" s="1"/>
  <c r="D69" i="3" s="1"/>
  <c r="B68" i="3"/>
  <c r="C68" i="3" s="1" a="1"/>
  <c r="C68" i="3" s="1"/>
  <c r="D68" i="3" s="1"/>
  <c r="B67" i="3"/>
  <c r="C67" i="3" s="1" a="1"/>
  <c r="C67" i="3" s="1"/>
  <c r="D67" i="3" s="1"/>
  <c r="B66" i="3"/>
  <c r="C66" i="3" s="1" a="1"/>
  <c r="C66" i="3" s="1"/>
  <c r="D66" i="3" s="1"/>
  <c r="B65" i="3"/>
  <c r="C65" i="3" s="1" a="1"/>
  <c r="C65" i="3" s="1"/>
  <c r="D65" i="3" s="1"/>
  <c r="B64" i="3"/>
  <c r="C64" i="3" s="1" a="1"/>
  <c r="C64" i="3" s="1"/>
  <c r="D64" i="3" s="1"/>
  <c r="B63" i="3"/>
  <c r="C63" i="3" s="1" a="1"/>
  <c r="C63" i="3" s="1"/>
  <c r="D63" i="3" s="1"/>
  <c r="B62" i="3"/>
  <c r="C62" i="3" s="1" a="1"/>
  <c r="C62" i="3" s="1"/>
  <c r="D62" i="3" s="1"/>
  <c r="B61" i="3"/>
  <c r="C61" i="3" s="1" a="1"/>
  <c r="C61" i="3" s="1"/>
  <c r="D61" i="3" s="1"/>
  <c r="B60" i="3"/>
  <c r="C60" i="3" s="1" a="1"/>
  <c r="C60" i="3" s="1"/>
  <c r="D60" i="3" s="1"/>
  <c r="B59" i="3"/>
  <c r="C59" i="3" s="1" a="1"/>
  <c r="C59" i="3" s="1"/>
  <c r="D59" i="3" s="1"/>
  <c r="B58" i="3"/>
  <c r="C58" i="3" s="1" a="1"/>
  <c r="C58" i="3" s="1"/>
  <c r="D58" i="3" s="1"/>
  <c r="B57" i="3"/>
  <c r="C57" i="3" s="1" a="1"/>
  <c r="C57" i="3" s="1"/>
  <c r="D57" i="3" s="1"/>
  <c r="B56" i="3"/>
  <c r="C56" i="3" s="1" a="1"/>
  <c r="C56" i="3" s="1"/>
  <c r="D56" i="3" s="1"/>
  <c r="B55" i="3"/>
  <c r="C55" i="3" s="1" a="1"/>
  <c r="C55" i="3" s="1"/>
  <c r="D55" i="3" s="1"/>
  <c r="B54" i="3"/>
  <c r="C54" i="3" s="1" a="1"/>
  <c r="C54" i="3" s="1"/>
  <c r="D54" i="3" s="1"/>
  <c r="B53" i="3"/>
  <c r="C53" i="3" s="1" a="1"/>
  <c r="C53" i="3" s="1"/>
  <c r="D53" i="3" s="1"/>
  <c r="B52" i="3"/>
  <c r="C52" i="3" s="1" a="1"/>
  <c r="C52" i="3" s="1"/>
  <c r="D52" i="3" s="1"/>
  <c r="B51" i="3"/>
  <c r="C51" i="3" s="1" a="1"/>
  <c r="C51" i="3" s="1"/>
  <c r="D51" i="3" s="1"/>
  <c r="B50" i="3"/>
  <c r="C50" i="3" s="1" a="1"/>
  <c r="C50" i="3" s="1"/>
  <c r="D50" i="3" s="1"/>
  <c r="B49" i="3"/>
  <c r="C49" i="3" s="1" a="1"/>
  <c r="C49" i="3" s="1"/>
  <c r="D49" i="3" s="1"/>
  <c r="B48" i="3"/>
  <c r="C48" i="3" s="1" a="1"/>
  <c r="C48" i="3" s="1"/>
  <c r="D48" i="3" s="1"/>
  <c r="B47" i="3"/>
  <c r="C47" i="3" s="1" a="1"/>
  <c r="C47" i="3" s="1"/>
  <c r="D47" i="3" s="1"/>
  <c r="B46" i="3"/>
  <c r="C46" i="3" s="1" a="1"/>
  <c r="C46" i="3" s="1"/>
  <c r="D46" i="3" s="1"/>
  <c r="B45" i="3"/>
  <c r="C45" i="3" s="1" a="1"/>
  <c r="C45" i="3" s="1"/>
  <c r="D45" i="3" s="1"/>
  <c r="B44" i="3"/>
  <c r="C44" i="3" s="1" a="1"/>
  <c r="C44" i="3" s="1"/>
  <c r="D44" i="3" s="1"/>
  <c r="B43" i="3"/>
  <c r="C43" i="3" s="1" a="1"/>
  <c r="C43" i="3" s="1"/>
  <c r="D43" i="3" s="1"/>
  <c r="B42" i="3"/>
  <c r="C42" i="3" s="1" a="1"/>
  <c r="C42" i="3" s="1"/>
  <c r="D42" i="3" s="1"/>
  <c r="B41" i="3"/>
  <c r="C41" i="3" s="1" a="1"/>
  <c r="C41" i="3" s="1"/>
  <c r="D41" i="3" s="1"/>
  <c r="B40" i="3"/>
  <c r="C40" i="3" s="1" a="1"/>
  <c r="C40" i="3" s="1"/>
  <c r="D40" i="3" s="1"/>
  <c r="B39" i="3"/>
  <c r="C39" i="3" s="1" a="1"/>
  <c r="C39" i="3" s="1"/>
  <c r="D39" i="3" s="1"/>
  <c r="B38" i="3"/>
  <c r="C38" i="3" s="1" a="1"/>
  <c r="C38" i="3" s="1"/>
  <c r="D38" i="3" s="1"/>
  <c r="B37" i="3"/>
  <c r="C37" i="3" s="1" a="1"/>
  <c r="C37" i="3" s="1"/>
  <c r="D37" i="3" s="1"/>
  <c r="B36" i="3"/>
  <c r="C36" i="3" s="1" a="1"/>
  <c r="C36" i="3" s="1"/>
  <c r="D36" i="3" s="1"/>
  <c r="B35" i="3"/>
  <c r="C35" i="3" s="1" a="1"/>
  <c r="C35" i="3" s="1"/>
  <c r="D35" i="3" s="1"/>
  <c r="B34" i="3"/>
  <c r="C34" i="3" s="1" a="1"/>
  <c r="C34" i="3" s="1"/>
  <c r="D34" i="3" s="1"/>
  <c r="B33" i="3"/>
  <c r="C33" i="3" s="1" a="1"/>
  <c r="C33" i="3" s="1"/>
  <c r="D33" i="3" s="1"/>
  <c r="B32" i="3"/>
  <c r="C32" i="3" s="1" a="1"/>
  <c r="C32" i="3" s="1"/>
  <c r="D32" i="3" s="1"/>
  <c r="B31" i="3"/>
  <c r="C31" i="3" s="1" a="1"/>
  <c r="C31" i="3" s="1"/>
  <c r="D31" i="3" s="1"/>
  <c r="B30" i="3"/>
  <c r="C30" i="3" s="1" a="1"/>
  <c r="C30" i="3" s="1"/>
  <c r="D30" i="3" s="1"/>
  <c r="B29" i="3"/>
  <c r="C29" i="3" s="1" a="1"/>
  <c r="C29" i="3" s="1"/>
  <c r="D29" i="3" s="1"/>
  <c r="B28" i="3"/>
  <c r="C28" i="3" s="1" a="1"/>
  <c r="C28" i="3" s="1"/>
  <c r="D28" i="3" s="1"/>
  <c r="B27" i="3"/>
  <c r="C27" i="3" s="1" a="1"/>
  <c r="C27" i="3" s="1"/>
  <c r="D27" i="3" s="1"/>
  <c r="B26" i="3"/>
  <c r="C26" i="3" s="1" a="1"/>
  <c r="C26" i="3" s="1"/>
  <c r="D26" i="3" s="1"/>
  <c r="B25" i="3"/>
  <c r="C25" i="3" s="1" a="1"/>
  <c r="C25" i="3" s="1"/>
  <c r="D25" i="3" s="1"/>
  <c r="B24" i="3"/>
  <c r="C24" i="3" s="1" a="1"/>
  <c r="C24" i="3" s="1"/>
  <c r="D24" i="3" s="1"/>
  <c r="B23" i="3"/>
  <c r="C23" i="3" s="1" a="1"/>
  <c r="C23" i="3" s="1"/>
  <c r="D23" i="3" s="1"/>
  <c r="B22" i="3"/>
  <c r="C22" i="3" s="1" a="1"/>
  <c r="C22" i="3" s="1"/>
  <c r="D22" i="3" s="1"/>
  <c r="B21" i="3"/>
  <c r="C21" i="3" s="1" a="1"/>
  <c r="C21" i="3" s="1"/>
  <c r="D21" i="3" s="1"/>
  <c r="B20" i="3"/>
  <c r="C20" i="3" s="1" a="1"/>
  <c r="C20" i="3" s="1"/>
  <c r="D20" i="3" s="1"/>
  <c r="B19" i="3"/>
  <c r="C19" i="3" s="1" a="1"/>
  <c r="C19" i="3" s="1"/>
  <c r="D19" i="3" s="1"/>
  <c r="B18" i="3"/>
  <c r="C18" i="3" s="1" a="1"/>
  <c r="C18" i="3" s="1"/>
  <c r="D18" i="3" s="1"/>
  <c r="B17" i="3"/>
  <c r="C17" i="3" s="1" a="1"/>
  <c r="C17" i="3" s="1"/>
  <c r="D17" i="3" s="1"/>
  <c r="B16" i="3"/>
  <c r="C16" i="3" s="1" a="1"/>
  <c r="C16" i="3" s="1"/>
  <c r="D16" i="3" s="1"/>
  <c r="B15" i="3"/>
  <c r="C15" i="3" s="1" a="1"/>
  <c r="C15" i="3" s="1"/>
  <c r="D15" i="3" s="1"/>
  <c r="B14" i="3"/>
  <c r="C14" i="3" s="1" a="1"/>
  <c r="C14" i="3" s="1"/>
  <c r="D14" i="3" s="1"/>
  <c r="B13" i="3"/>
  <c r="C13" i="3" s="1" a="1"/>
  <c r="C13" i="3" s="1"/>
  <c r="D13" i="3" s="1"/>
  <c r="B12" i="3"/>
  <c r="C12" i="3" s="1" a="1"/>
  <c r="C12" i="3" s="1"/>
  <c r="D12" i="3" s="1"/>
  <c r="B11" i="3"/>
  <c r="C11" i="3" s="1" a="1"/>
  <c r="C11" i="3" s="1"/>
  <c r="D11" i="3" s="1"/>
  <c r="B10" i="3"/>
  <c r="C10" i="3" s="1" a="1"/>
  <c r="C10" i="3" s="1"/>
  <c r="D10" i="3" s="1"/>
  <c r="B9" i="3"/>
  <c r="C9" i="3" s="1" a="1"/>
  <c r="C9" i="3" s="1"/>
  <c r="D9" i="3" s="1"/>
  <c r="B8" i="3"/>
  <c r="C8" i="3" s="1" a="1"/>
  <c r="C8" i="3" s="1"/>
  <c r="D8" i="3" s="1"/>
  <c r="B7" i="3"/>
  <c r="C7" i="3" s="1" a="1"/>
  <c r="C7" i="3" s="1"/>
  <c r="D7" i="3" s="1"/>
  <c r="B6" i="3"/>
  <c r="C6" i="3" s="1" a="1"/>
  <c r="C6" i="3" s="1"/>
  <c r="D6" i="3" s="1"/>
  <c r="B5" i="3"/>
  <c r="C5" i="3" s="1" a="1"/>
  <c r="C5" i="3" s="1"/>
  <c r="D5" i="3" s="1"/>
  <c r="B4" i="3"/>
  <c r="C4" i="3" s="1" a="1"/>
  <c r="C4" i="3" s="1"/>
  <c r="D4" i="3" s="1"/>
  <c r="B3" i="3"/>
  <c r="C3" i="3" s="1" a="1"/>
  <c r="C3" i="3" s="1"/>
  <c r="D3" i="3" s="1"/>
  <c r="A30" i="4"/>
  <c r="A8" i="4"/>
  <c r="D32" i="1" l="1"/>
  <c r="D25" i="1"/>
  <c r="D33" i="1"/>
  <c r="D41" i="1"/>
  <c r="D53" i="1"/>
  <c r="D31" i="1"/>
  <c r="D39" i="1"/>
  <c r="D24" i="1"/>
  <c r="D52" i="1"/>
  <c r="D26" i="1"/>
  <c r="D34" i="1"/>
  <c r="D42" i="1"/>
  <c r="D54" i="1"/>
  <c r="D19" i="1"/>
  <c r="D51" i="1"/>
  <c r="D40" i="1"/>
  <c r="D27" i="1"/>
  <c r="D35" i="1"/>
  <c r="D43" i="1"/>
  <c r="D2" i="3"/>
  <c r="D46" i="1" l="1"/>
  <c r="D58" i="1"/>
  <c r="J14" i="1"/>
  <c r="K14" i="1"/>
  <c r="L14" i="1"/>
  <c r="M14" i="1"/>
  <c r="N14" i="1"/>
  <c r="O14" i="1"/>
  <c r="P14" i="1"/>
  <c r="Q14" i="1"/>
  <c r="R14" i="1"/>
  <c r="S14" i="1"/>
  <c r="T14" i="1"/>
  <c r="U14" i="1"/>
  <c r="V14" i="1"/>
  <c r="C4" i="4"/>
  <c r="D10" i="1"/>
  <c r="A3" i="3"/>
  <c r="A4" i="3"/>
  <c r="A5" i="3"/>
  <c r="A6" i="3"/>
  <c r="A7" i="3"/>
  <c r="D21" i="1" s="1"/>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2" i="3"/>
  <c r="E6" i="1"/>
  <c r="E7" i="1" s="1"/>
  <c r="A4" i="4"/>
  <c r="E56" i="1" l="1"/>
  <c r="E49" i="1"/>
  <c r="E37" i="1"/>
  <c r="E33" i="1"/>
  <c r="E28" i="1"/>
  <c r="E24" i="1"/>
  <c r="E44" i="1"/>
  <c r="E41" i="1"/>
  <c r="E34" i="1"/>
  <c r="E51" i="1"/>
  <c r="E55" i="1"/>
  <c r="E36" i="1"/>
  <c r="E32" i="1"/>
  <c r="E19" i="1"/>
  <c r="E42" i="1"/>
  <c r="E35" i="1"/>
  <c r="E53" i="1"/>
  <c r="E40" i="1"/>
  <c r="E26" i="1"/>
  <c r="E54" i="1"/>
  <c r="E50" i="1"/>
  <c r="E38" i="1"/>
  <c r="E52" i="1"/>
  <c r="E43" i="1"/>
  <c r="E29" i="1"/>
  <c r="E31" i="1"/>
  <c r="E39" i="1"/>
  <c r="E30" i="1"/>
  <c r="E18" i="1"/>
  <c r="E21" i="1" s="1"/>
  <c r="E27" i="1"/>
  <c r="E25" i="1"/>
  <c r="D60" i="1"/>
  <c r="D11" i="1" s="1"/>
  <c r="D12" i="1" s="1"/>
  <c r="F6" i="1"/>
  <c r="F7" i="1" s="1"/>
  <c r="E10" i="1" l="1"/>
  <c r="D14" i="1"/>
  <c r="E46" i="1"/>
  <c r="G6" i="1"/>
  <c r="G7" i="1" s="1"/>
  <c r="F44" i="1"/>
  <c r="F41" i="1"/>
  <c r="F34" i="1"/>
  <c r="F31" i="1"/>
  <c r="F51" i="1"/>
  <c r="F55" i="1"/>
  <c r="F53" i="1"/>
  <c r="F40" i="1"/>
  <c r="F26" i="1"/>
  <c r="F52" i="1"/>
  <c r="F39" i="1"/>
  <c r="F50" i="1"/>
  <c r="F38" i="1"/>
  <c r="F19" i="1"/>
  <c r="F43" i="1"/>
  <c r="F54" i="1"/>
  <c r="F42" i="1"/>
  <c r="F35" i="1"/>
  <c r="F27" i="1"/>
  <c r="F24" i="1"/>
  <c r="F28" i="1"/>
  <c r="F29" i="1"/>
  <c r="F49" i="1"/>
  <c r="F36" i="1"/>
  <c r="F37" i="1"/>
  <c r="F25" i="1"/>
  <c r="F18" i="1"/>
  <c r="F21" i="1" s="1"/>
  <c r="F33" i="1"/>
  <c r="F30" i="1"/>
  <c r="F56" i="1"/>
  <c r="F32" i="1"/>
  <c r="E58" i="1"/>
  <c r="H6" i="1"/>
  <c r="H7" i="1" s="1"/>
  <c r="E60" i="1" l="1"/>
  <c r="E11" i="1" s="1"/>
  <c r="H55" i="1"/>
  <c r="H36" i="1"/>
  <c r="H32" i="1"/>
  <c r="H53" i="1"/>
  <c r="H40" i="1"/>
  <c r="H50" i="1"/>
  <c r="H54" i="1"/>
  <c r="H42" i="1"/>
  <c r="H35" i="1"/>
  <c r="H27" i="1"/>
  <c r="H44" i="1"/>
  <c r="H41" i="1"/>
  <c r="H52" i="1"/>
  <c r="H43" i="1"/>
  <c r="H39" i="1"/>
  <c r="H30" i="1"/>
  <c r="H24" i="1"/>
  <c r="H56" i="1"/>
  <c r="H49" i="1"/>
  <c r="H37" i="1"/>
  <c r="H33" i="1"/>
  <c r="H28" i="1"/>
  <c r="H31" i="1"/>
  <c r="H26" i="1"/>
  <c r="H34" i="1"/>
  <c r="H38" i="1"/>
  <c r="H51" i="1"/>
  <c r="H25" i="1"/>
  <c r="H19" i="1"/>
  <c r="H29" i="1"/>
  <c r="H18" i="1"/>
  <c r="H21" i="1" s="1"/>
  <c r="F46" i="1"/>
  <c r="G51" i="1"/>
  <c r="G29" i="1"/>
  <c r="G25" i="1"/>
  <c r="G18" i="1"/>
  <c r="G55" i="1"/>
  <c r="G36" i="1"/>
  <c r="G53" i="1"/>
  <c r="G50" i="1"/>
  <c r="G38" i="1"/>
  <c r="G56" i="1"/>
  <c r="G37" i="1"/>
  <c r="G54" i="1"/>
  <c r="G42" i="1"/>
  <c r="G35" i="1"/>
  <c r="G27" i="1"/>
  <c r="G19" i="1"/>
  <c r="G49" i="1"/>
  <c r="G52" i="1"/>
  <c r="G43" i="1"/>
  <c r="G39" i="1"/>
  <c r="G30" i="1"/>
  <c r="G31" i="1"/>
  <c r="G26" i="1"/>
  <c r="G24" i="1"/>
  <c r="G41" i="1"/>
  <c r="G28" i="1"/>
  <c r="G44" i="1"/>
  <c r="G40" i="1"/>
  <c r="G33" i="1"/>
  <c r="G32" i="1"/>
  <c r="G34" i="1"/>
  <c r="F58" i="1"/>
  <c r="E12" i="1"/>
  <c r="I6" i="1"/>
  <c r="I7" i="1" s="1"/>
  <c r="F60" i="1" l="1"/>
  <c r="F11" i="1" s="1"/>
  <c r="H58" i="1"/>
  <c r="H46" i="1"/>
  <c r="I53" i="1"/>
  <c r="J53" i="1" s="1"/>
  <c r="I40" i="1"/>
  <c r="I26" i="1"/>
  <c r="I50" i="1"/>
  <c r="I38" i="1"/>
  <c r="I54" i="1"/>
  <c r="I52" i="1"/>
  <c r="I43" i="1"/>
  <c r="I39" i="1"/>
  <c r="I30" i="1"/>
  <c r="I56" i="1"/>
  <c r="I49" i="1"/>
  <c r="I37" i="1"/>
  <c r="I33" i="1"/>
  <c r="I28" i="1"/>
  <c r="I24" i="1"/>
  <c r="I18" i="1"/>
  <c r="I44" i="1"/>
  <c r="I41" i="1"/>
  <c r="I34" i="1"/>
  <c r="I31" i="1"/>
  <c r="I51" i="1"/>
  <c r="I55" i="1"/>
  <c r="I25" i="1"/>
  <c r="I35" i="1"/>
  <c r="I36" i="1"/>
  <c r="I42" i="1"/>
  <c r="I29" i="1"/>
  <c r="I27" i="1"/>
  <c r="I19" i="1"/>
  <c r="I32" i="1"/>
  <c r="F10" i="1"/>
  <c r="F12" i="1" s="1"/>
  <c r="E14" i="1"/>
  <c r="G21" i="1"/>
  <c r="G46" i="1"/>
  <c r="G58" i="1"/>
  <c r="J38" i="1"/>
  <c r="K38" i="1" s="1"/>
  <c r="J6" i="1"/>
  <c r="J7" i="1" s="1"/>
  <c r="H60" i="1" l="1"/>
  <c r="H11" i="1" s="1"/>
  <c r="I46" i="1"/>
  <c r="J31" i="1"/>
  <c r="K31" i="1" s="1"/>
  <c r="K53" i="1"/>
  <c r="I58" i="1"/>
  <c r="J24" i="1"/>
  <c r="J50" i="1"/>
  <c r="J19" i="1"/>
  <c r="J54" i="1"/>
  <c r="J35" i="1"/>
  <c r="J52" i="1"/>
  <c r="J25" i="1"/>
  <c r="J49" i="1"/>
  <c r="J37" i="1"/>
  <c r="J36" i="1"/>
  <c r="J44" i="1"/>
  <c r="J41" i="1"/>
  <c r="J34" i="1"/>
  <c r="J18" i="1"/>
  <c r="J21" i="1" s="1"/>
  <c r="J55" i="1"/>
  <c r="J51" i="1"/>
  <c r="J29" i="1"/>
  <c r="J32" i="1"/>
  <c r="J39" i="1"/>
  <c r="J40" i="1"/>
  <c r="G10" i="1"/>
  <c r="F14" i="1"/>
  <c r="J43" i="1"/>
  <c r="L38" i="1"/>
  <c r="G60" i="1"/>
  <c r="G11" i="1" s="1"/>
  <c r="J26" i="1"/>
  <c r="J56" i="1"/>
  <c r="J30" i="1"/>
  <c r="J28" i="1"/>
  <c r="I21" i="1"/>
  <c r="I60" i="1" s="1"/>
  <c r="I11" i="1" s="1"/>
  <c r="K6" i="1"/>
  <c r="K7" i="1" s="1"/>
  <c r="L43" i="1" l="1"/>
  <c r="J46" i="1"/>
  <c r="K28" i="1"/>
  <c r="J58" i="1"/>
  <c r="M38" i="1"/>
  <c r="N38" i="1" s="1"/>
  <c r="K43" i="1"/>
  <c r="M43" i="1" s="1"/>
  <c r="K26" i="1"/>
  <c r="K30" i="1"/>
  <c r="L30" i="1" s="1"/>
  <c r="M30" i="1" s="1"/>
  <c r="L31" i="1"/>
  <c r="K54" i="1"/>
  <c r="K35" i="1"/>
  <c r="K52" i="1"/>
  <c r="K42" i="1"/>
  <c r="K39" i="1"/>
  <c r="K25" i="1"/>
  <c r="K49" i="1"/>
  <c r="K44" i="1"/>
  <c r="K41" i="1"/>
  <c r="K34" i="1"/>
  <c r="K33" i="1"/>
  <c r="K51" i="1"/>
  <c r="K29" i="1"/>
  <c r="K40" i="1"/>
  <c r="K18" i="1"/>
  <c r="K55" i="1"/>
  <c r="K36" i="1"/>
  <c r="K32" i="1"/>
  <c r="K19" i="1"/>
  <c r="K50" i="1"/>
  <c r="K37" i="1"/>
  <c r="K24" i="1"/>
  <c r="K56" i="1"/>
  <c r="G12" i="1"/>
  <c r="J60" i="1"/>
  <c r="J11" i="1" s="1"/>
  <c r="L53" i="1"/>
  <c r="L6" i="1"/>
  <c r="L7" i="1" s="1"/>
  <c r="O38" i="1" l="1"/>
  <c r="P38" i="1" s="1"/>
  <c r="M31" i="1"/>
  <c r="L28" i="1"/>
  <c r="K21" i="1"/>
  <c r="K58" i="1"/>
  <c r="K46" i="1"/>
  <c r="L26" i="1"/>
  <c r="L52" i="1"/>
  <c r="L42" i="1"/>
  <c r="L39" i="1"/>
  <c r="L25" i="1"/>
  <c r="L49" i="1"/>
  <c r="L37" i="1"/>
  <c r="L44" i="1"/>
  <c r="L51" i="1"/>
  <c r="L29" i="1"/>
  <c r="L24" i="1"/>
  <c r="L18" i="1"/>
  <c r="L55" i="1"/>
  <c r="L36" i="1"/>
  <c r="L32" i="1"/>
  <c r="L50" i="1"/>
  <c r="L40" i="1"/>
  <c r="L41" i="1"/>
  <c r="L33" i="1"/>
  <c r="L19" i="1"/>
  <c r="L35" i="1"/>
  <c r="L54" i="1"/>
  <c r="L34" i="1"/>
  <c r="H10" i="1"/>
  <c r="H12" i="1" s="1"/>
  <c r="G14" i="1"/>
  <c r="N43" i="1"/>
  <c r="P43" i="1" s="1"/>
  <c r="O43" i="1"/>
  <c r="M53" i="1"/>
  <c r="L56" i="1"/>
  <c r="N30" i="1"/>
  <c r="M6" i="1"/>
  <c r="M7" i="1" s="1"/>
  <c r="Q38" i="1" l="1"/>
  <c r="R38" i="1" s="1"/>
  <c r="O30" i="1"/>
  <c r="M28" i="1"/>
  <c r="N28" i="1" s="1"/>
  <c r="O28" i="1" s="1"/>
  <c r="N53" i="1"/>
  <c r="O53" i="1"/>
  <c r="Q43" i="1"/>
  <c r="L58" i="1"/>
  <c r="N31" i="1"/>
  <c r="O31" i="1" s="1"/>
  <c r="P31" i="1" s="1"/>
  <c r="M26" i="1"/>
  <c r="K60" i="1"/>
  <c r="K11" i="1" s="1"/>
  <c r="L21" i="1"/>
  <c r="R43" i="1"/>
  <c r="S43" i="1" s="1"/>
  <c r="T43" i="1" s="1"/>
  <c r="M25" i="1"/>
  <c r="M49" i="1"/>
  <c r="M37" i="1"/>
  <c r="M44" i="1"/>
  <c r="M41" i="1"/>
  <c r="M34" i="1"/>
  <c r="M33" i="1"/>
  <c r="M51" i="1"/>
  <c r="M18" i="1"/>
  <c r="M55" i="1"/>
  <c r="M36" i="1"/>
  <c r="M32" i="1"/>
  <c r="M19" i="1"/>
  <c r="M35" i="1"/>
  <c r="M40" i="1"/>
  <c r="M24" i="1"/>
  <c r="M50" i="1"/>
  <c r="M54" i="1"/>
  <c r="M52" i="1"/>
  <c r="M39" i="1"/>
  <c r="M42" i="1"/>
  <c r="M29" i="1"/>
  <c r="H14" i="1"/>
  <c r="I10" i="1"/>
  <c r="I12" i="1" s="1"/>
  <c r="M56" i="1"/>
  <c r="L46" i="1"/>
  <c r="N6" i="1"/>
  <c r="N7" i="1" s="1"/>
  <c r="S38" i="1" l="1"/>
  <c r="N56" i="1"/>
  <c r="M58" i="1"/>
  <c r="M21" i="1"/>
  <c r="Q31" i="1"/>
  <c r="U43" i="1"/>
  <c r="V43" i="1" s="1"/>
  <c r="N44" i="1"/>
  <c r="N41" i="1"/>
  <c r="N34" i="1"/>
  <c r="N51" i="1"/>
  <c r="N18" i="1"/>
  <c r="N55" i="1"/>
  <c r="N40" i="1"/>
  <c r="N24" i="1"/>
  <c r="N50" i="1"/>
  <c r="N19" i="1"/>
  <c r="N39" i="1"/>
  <c r="N54" i="1"/>
  <c r="N35" i="1"/>
  <c r="N52" i="1"/>
  <c r="N36" i="1"/>
  <c r="N49" i="1"/>
  <c r="N32" i="1"/>
  <c r="N29" i="1"/>
  <c r="N37" i="1"/>
  <c r="N25" i="1"/>
  <c r="P30" i="1"/>
  <c r="J10" i="1"/>
  <c r="J12" i="1" s="1"/>
  <c r="K10" i="1" s="1"/>
  <c r="K12" i="1" s="1"/>
  <c r="L10" i="1" s="1"/>
  <c r="I14" i="1"/>
  <c r="B4" i="5" s="1"/>
  <c r="M46" i="1"/>
  <c r="L60" i="1"/>
  <c r="L11" i="1" s="1"/>
  <c r="P28" i="1"/>
  <c r="P53" i="1"/>
  <c r="Q53" i="1" s="1"/>
  <c r="N26" i="1"/>
  <c r="Q30" i="1"/>
  <c r="R30" i="1" s="1"/>
  <c r="S30" i="1" s="1"/>
  <c r="O6" i="1"/>
  <c r="O7" i="1" s="1"/>
  <c r="T38" i="1" l="1"/>
  <c r="U38" i="1"/>
  <c r="V38" i="1" s="1"/>
  <c r="R53" i="1"/>
  <c r="S53" i="1" s="1"/>
  <c r="P56" i="1"/>
  <c r="O56" i="1"/>
  <c r="N58" i="1"/>
  <c r="N46" i="1"/>
  <c r="T30" i="1"/>
  <c r="U30" i="1" s="1"/>
  <c r="V30" i="1" s="1"/>
  <c r="R31" i="1"/>
  <c r="S31" i="1" s="1"/>
  <c r="O26" i="1"/>
  <c r="P26" i="1" s="1"/>
  <c r="N21" i="1"/>
  <c r="N60" i="1" s="1"/>
  <c r="N11" i="1" s="1"/>
  <c r="O51" i="1"/>
  <c r="O33" i="1"/>
  <c r="O29" i="1"/>
  <c r="O18" i="1"/>
  <c r="O55" i="1"/>
  <c r="O36" i="1"/>
  <c r="O24" i="1"/>
  <c r="O50" i="1"/>
  <c r="O25" i="1"/>
  <c r="O49" i="1"/>
  <c r="O37" i="1"/>
  <c r="O54" i="1"/>
  <c r="O35" i="1"/>
  <c r="O19" i="1"/>
  <c r="O42" i="1"/>
  <c r="O52" i="1"/>
  <c r="O39" i="1"/>
  <c r="O32" i="1"/>
  <c r="O41" i="1"/>
  <c r="O34" i="1"/>
  <c r="O40" i="1"/>
  <c r="O44" i="1"/>
  <c r="L12" i="1"/>
  <c r="M10" i="1" s="1"/>
  <c r="M60" i="1"/>
  <c r="M11" i="1" s="1"/>
  <c r="Q28" i="1"/>
  <c r="P6" i="1"/>
  <c r="P7" i="1" s="1"/>
  <c r="R28" i="1" l="1"/>
  <c r="T28" i="1" s="1"/>
  <c r="U28" i="1" s="1"/>
  <c r="V28" i="1" s="1"/>
  <c r="T53" i="1"/>
  <c r="U53" i="1" s="1"/>
  <c r="V53" i="1" s="1"/>
  <c r="O21" i="1"/>
  <c r="O58" i="1"/>
  <c r="Q26" i="1"/>
  <c r="R26" i="1" s="1"/>
  <c r="O46" i="1"/>
  <c r="Q56" i="1"/>
  <c r="P18" i="1"/>
  <c r="P55" i="1"/>
  <c r="P36" i="1"/>
  <c r="P32" i="1"/>
  <c r="P40" i="1"/>
  <c r="P24" i="1"/>
  <c r="P50" i="1"/>
  <c r="P54" i="1"/>
  <c r="P35" i="1"/>
  <c r="P34" i="1"/>
  <c r="P52" i="1"/>
  <c r="P39" i="1"/>
  <c r="P44" i="1"/>
  <c r="P41" i="1"/>
  <c r="P25" i="1"/>
  <c r="P49" i="1"/>
  <c r="P42" i="1"/>
  <c r="P37" i="1"/>
  <c r="P33" i="1"/>
  <c r="P19" i="1"/>
  <c r="P29" i="1"/>
  <c r="P51" i="1"/>
  <c r="S28" i="1"/>
  <c r="M12" i="1"/>
  <c r="N10" i="1" s="1"/>
  <c r="N12" i="1" s="1"/>
  <c r="O10" i="1" s="1"/>
  <c r="T31" i="1"/>
  <c r="U31" i="1" s="1"/>
  <c r="Q6" i="1"/>
  <c r="Q7" i="1" s="1"/>
  <c r="V31" i="1" l="1"/>
  <c r="P58" i="1"/>
  <c r="O60" i="1"/>
  <c r="O11" i="1" s="1"/>
  <c r="O12" i="1" s="1"/>
  <c r="P10" i="1" s="1"/>
  <c r="P21" i="1"/>
  <c r="S26" i="1"/>
  <c r="Q40" i="1"/>
  <c r="Q24" i="1"/>
  <c r="Q50" i="1"/>
  <c r="Q54" i="1"/>
  <c r="Q52" i="1"/>
  <c r="Q39" i="1"/>
  <c r="Q25" i="1"/>
  <c r="Q49" i="1"/>
  <c r="Q42" i="1"/>
  <c r="Q37" i="1"/>
  <c r="Q51" i="1"/>
  <c r="Q44" i="1"/>
  <c r="Q41" i="1"/>
  <c r="Q34" i="1"/>
  <c r="Q29" i="1"/>
  <c r="Q19" i="1"/>
  <c r="Q55" i="1"/>
  <c r="Q36" i="1"/>
  <c r="Q33" i="1"/>
  <c r="Q32" i="1"/>
  <c r="Q18" i="1"/>
  <c r="Q35" i="1"/>
  <c r="P46" i="1"/>
  <c r="R56" i="1"/>
  <c r="R6" i="1"/>
  <c r="R7" i="1" s="1"/>
  <c r="P60" i="1" l="1"/>
  <c r="P11" i="1" s="1"/>
  <c r="P12" i="1"/>
  <c r="Q10" i="1" s="1"/>
  <c r="Q21" i="1"/>
  <c r="Q46" i="1"/>
  <c r="R24" i="1"/>
  <c r="R50" i="1"/>
  <c r="R19" i="1"/>
  <c r="R54" i="1"/>
  <c r="R35" i="1"/>
  <c r="R52" i="1"/>
  <c r="R25" i="1"/>
  <c r="R49" i="1"/>
  <c r="R37" i="1"/>
  <c r="R18" i="1"/>
  <c r="R36" i="1"/>
  <c r="R44" i="1"/>
  <c r="R41" i="1"/>
  <c r="R34" i="1"/>
  <c r="R51" i="1"/>
  <c r="R29" i="1"/>
  <c r="R55" i="1"/>
  <c r="R39" i="1"/>
  <c r="R32" i="1"/>
  <c r="R40" i="1"/>
  <c r="Q58" i="1"/>
  <c r="Q60" i="1" s="1"/>
  <c r="Q11" i="1" s="1"/>
  <c r="Q12" i="1" s="1"/>
  <c r="R10" i="1" s="1"/>
  <c r="T26" i="1"/>
  <c r="S56" i="1"/>
  <c r="S6" i="1"/>
  <c r="S7" i="1" s="1"/>
  <c r="R58" i="1" l="1"/>
  <c r="R21" i="1"/>
  <c r="R46" i="1"/>
  <c r="T56" i="1"/>
  <c r="U56" i="1" s="1"/>
  <c r="S54" i="1"/>
  <c r="S35" i="1"/>
  <c r="S52" i="1"/>
  <c r="S39" i="1"/>
  <c r="S25" i="1"/>
  <c r="S49" i="1"/>
  <c r="S44" i="1"/>
  <c r="S42" i="1"/>
  <c r="S41" i="1"/>
  <c r="S34" i="1"/>
  <c r="S40" i="1"/>
  <c r="S51" i="1"/>
  <c r="S29" i="1"/>
  <c r="S18" i="1"/>
  <c r="S55" i="1"/>
  <c r="S36" i="1"/>
  <c r="S33" i="1"/>
  <c r="S32" i="1"/>
  <c r="S37" i="1"/>
  <c r="S19" i="1"/>
  <c r="S24" i="1"/>
  <c r="S50" i="1"/>
  <c r="U26" i="1"/>
  <c r="V26" i="1" s="1"/>
  <c r="T6" i="1"/>
  <c r="T7" i="1" s="1"/>
  <c r="S58" i="1" l="1"/>
  <c r="R60" i="1"/>
  <c r="R11" i="1" s="1"/>
  <c r="R12" i="1" s="1"/>
  <c r="S10" i="1" s="1"/>
  <c r="T52" i="1"/>
  <c r="T39" i="1"/>
  <c r="T25" i="1"/>
  <c r="T49" i="1"/>
  <c r="T37" i="1"/>
  <c r="T44" i="1"/>
  <c r="T51" i="1"/>
  <c r="T29" i="1"/>
  <c r="T50" i="1"/>
  <c r="T18" i="1"/>
  <c r="T55" i="1"/>
  <c r="T36" i="1"/>
  <c r="T33" i="1"/>
  <c r="T32" i="1"/>
  <c r="T24" i="1"/>
  <c r="T40" i="1"/>
  <c r="T34" i="1"/>
  <c r="T19" i="1"/>
  <c r="T54" i="1"/>
  <c r="T42" i="1"/>
  <c r="T35" i="1"/>
  <c r="T41" i="1"/>
  <c r="V56" i="1"/>
  <c r="S21" i="1"/>
  <c r="S46" i="1"/>
  <c r="U6" i="1"/>
  <c r="U7" i="1" s="1"/>
  <c r="T46" i="1" l="1"/>
  <c r="T58" i="1"/>
  <c r="U25" i="1"/>
  <c r="U49" i="1"/>
  <c r="U37" i="1"/>
  <c r="U44" i="1"/>
  <c r="U42" i="1"/>
  <c r="U41" i="1"/>
  <c r="U34" i="1"/>
  <c r="U51" i="1"/>
  <c r="U18" i="1"/>
  <c r="U55" i="1"/>
  <c r="U36" i="1"/>
  <c r="U33" i="1"/>
  <c r="U32" i="1"/>
  <c r="U19" i="1"/>
  <c r="U54" i="1"/>
  <c r="U35" i="1"/>
  <c r="U40" i="1"/>
  <c r="U24" i="1"/>
  <c r="U50" i="1"/>
  <c r="U39" i="1"/>
  <c r="U29" i="1"/>
  <c r="U52" i="1"/>
  <c r="T21" i="1"/>
  <c r="T60" i="1" s="1"/>
  <c r="T11" i="1" s="1"/>
  <c r="S60" i="1"/>
  <c r="S11" i="1" s="1"/>
  <c r="S12" i="1" s="1"/>
  <c r="T10" i="1" s="1"/>
  <c r="V6" i="1"/>
  <c r="V7" i="1" s="1"/>
  <c r="U58" i="1" l="1"/>
  <c r="U46" i="1"/>
  <c r="V44" i="1"/>
  <c r="V41" i="1"/>
  <c r="V34" i="1"/>
  <c r="V51" i="1"/>
  <c r="V18" i="1"/>
  <c r="V55" i="1"/>
  <c r="V40" i="1"/>
  <c r="V52" i="1"/>
  <c r="V39" i="1"/>
  <c r="V24" i="1"/>
  <c r="V50" i="1"/>
  <c r="V19" i="1"/>
  <c r="V54" i="1"/>
  <c r="V35" i="1"/>
  <c r="V49" i="1"/>
  <c r="V37" i="1"/>
  <c r="V25" i="1"/>
  <c r="V36" i="1"/>
  <c r="V29" i="1"/>
  <c r="V32" i="1"/>
  <c r="V7" i="10"/>
  <c r="V62" i="10" s="1"/>
  <c r="U21" i="1"/>
  <c r="U60" i="1" s="1"/>
  <c r="U11" i="1" s="1"/>
  <c r="T12" i="1"/>
  <c r="U10" i="1" s="1"/>
  <c r="V6" i="10" l="1"/>
  <c r="U7" i="10" s="1"/>
  <c r="U62" i="10" s="1"/>
  <c r="V21" i="1"/>
  <c r="V46" i="1"/>
  <c r="U12" i="1"/>
  <c r="V10" i="1" s="1"/>
  <c r="V58" i="1"/>
  <c r="V12" i="1" l="1"/>
  <c r="V60" i="1"/>
  <c r="V11" i="1" s="1"/>
  <c r="V21" i="10"/>
  <c r="U6" i="10"/>
  <c r="T7" i="10" s="1"/>
  <c r="T62" i="10" s="1"/>
  <c r="U21" i="10" l="1"/>
  <c r="T6" i="10"/>
  <c r="S7" i="10" s="1"/>
  <c r="S62" i="10" s="1"/>
  <c r="T21" i="10" l="1"/>
  <c r="S6" i="10"/>
  <c r="R7" i="10" s="1"/>
  <c r="R62" i="10" s="1"/>
  <c r="R6" i="10" l="1"/>
  <c r="Q7" i="10" s="1"/>
  <c r="Q62" i="10" s="1"/>
  <c r="S21" i="10"/>
  <c r="R21" i="10" l="1"/>
  <c r="Q6" i="10"/>
  <c r="P7" i="10" s="1"/>
  <c r="P62" i="10" s="1"/>
  <c r="P6" i="10" l="1"/>
  <c r="O7" i="10" s="1"/>
  <c r="O62" i="10" s="1"/>
  <c r="Q21" i="10"/>
  <c r="P21" i="10" l="1"/>
  <c r="O6" i="10"/>
  <c r="N7" i="10" s="1"/>
  <c r="N62" i="10" s="1"/>
  <c r="N6" i="10" l="1"/>
  <c r="M7" i="10" s="1"/>
  <c r="M62" i="10" s="1"/>
  <c r="O21" i="10"/>
  <c r="N21" i="10" l="1"/>
  <c r="M6" i="10"/>
  <c r="L7" i="10" s="1"/>
  <c r="L62" i="10" s="1"/>
  <c r="L6" i="10" l="1"/>
  <c r="K7" i="10" s="1"/>
  <c r="K62" i="10" s="1"/>
  <c r="M21" i="10"/>
  <c r="L21" i="10" l="1"/>
  <c r="K6" i="10"/>
  <c r="J7" i="10" s="1"/>
  <c r="J62" i="10" s="1"/>
  <c r="K21" i="10" l="1"/>
  <c r="J6" i="10"/>
  <c r="I7" i="10" s="1"/>
  <c r="I62" i="10" s="1"/>
  <c r="J21" i="10" l="1"/>
  <c r="I6" i="10"/>
  <c r="H7" i="10" s="1"/>
  <c r="H62" i="10" s="1"/>
  <c r="I21" i="10"/>
  <c r="I58" i="10"/>
  <c r="I46" i="10" l="1"/>
  <c r="I60" i="10" s="1"/>
  <c r="I11" i="10" s="1"/>
  <c r="H6" i="10"/>
  <c r="G7" i="10" s="1"/>
  <c r="G62" i="10" s="1"/>
  <c r="H21" i="10" l="1"/>
  <c r="H58" i="10"/>
  <c r="H46" i="10"/>
  <c r="G6" i="10"/>
  <c r="F7" i="10" s="1"/>
  <c r="F62" i="10" s="1"/>
  <c r="G21" i="10"/>
  <c r="H60" i="10" l="1"/>
  <c r="H11" i="10" s="1"/>
  <c r="G46" i="10"/>
  <c r="G58" i="10"/>
  <c r="F6" i="10"/>
  <c r="E7" i="10" s="1"/>
  <c r="E62" i="10" s="1"/>
  <c r="F58" i="10"/>
  <c r="F21" i="10"/>
  <c r="E6" i="10" l="1"/>
  <c r="D7" i="10" s="1"/>
  <c r="D62" i="10" s="1"/>
  <c r="F46" i="10"/>
  <c r="F60" i="10" s="1"/>
  <c r="F11" i="10" s="1"/>
  <c r="G60" i="10"/>
  <c r="G11" i="10" s="1"/>
  <c r="E21" i="10" l="1"/>
  <c r="E46" i="10"/>
  <c r="E58" i="10"/>
  <c r="D6" i="10"/>
  <c r="E60" i="10" l="1"/>
  <c r="E11" i="10" s="1"/>
  <c r="D58" i="10"/>
  <c r="D21" i="10"/>
  <c r="D46" i="10"/>
  <c r="J46" i="10"/>
  <c r="K58" i="10"/>
  <c r="J58" i="10"/>
  <c r="D60" i="10" l="1"/>
  <c r="K46" i="10"/>
  <c r="K60" i="10" s="1"/>
  <c r="K11" i="10" s="1"/>
  <c r="L58" i="10"/>
  <c r="J60" i="10"/>
  <c r="J11" i="10" s="1"/>
  <c r="D11" i="10" l="1"/>
  <c r="D12" i="10" s="1"/>
  <c r="D63" i="10" s="1"/>
  <c r="O58" i="10"/>
  <c r="N58" i="10"/>
  <c r="M46" i="10"/>
  <c r="M58" i="10"/>
  <c r="L46" i="10"/>
  <c r="L60" i="10" s="1"/>
  <c r="L11" i="10" s="1"/>
  <c r="E10" i="10" l="1"/>
  <c r="E12" i="10" s="1"/>
  <c r="D14" i="10"/>
  <c r="N46" i="10"/>
  <c r="N60" i="10" s="1"/>
  <c r="N11" i="10" s="1"/>
  <c r="Q58" i="10"/>
  <c r="P58" i="10"/>
  <c r="M60" i="10"/>
  <c r="M11" i="10" s="1"/>
  <c r="F10" i="10" l="1"/>
  <c r="F12" i="10" s="1"/>
  <c r="E63" i="10"/>
  <c r="E14" i="10"/>
  <c r="F14" i="10"/>
  <c r="R58" i="10"/>
  <c r="O46" i="10"/>
  <c r="O60" i="10" s="1"/>
  <c r="O11" i="10" s="1"/>
  <c r="G10" i="10" l="1"/>
  <c r="G12" i="10" s="1"/>
  <c r="F63" i="10"/>
  <c r="S58" i="10"/>
  <c r="P46" i="10"/>
  <c r="P60" i="10" s="1"/>
  <c r="P11" i="10" s="1"/>
  <c r="Q46" i="10"/>
  <c r="Q60" i="10" s="1"/>
  <c r="Q11" i="10" s="1"/>
  <c r="H10" i="10" l="1"/>
  <c r="H12" i="10" s="1"/>
  <c r="G63" i="10"/>
  <c r="G14" i="10"/>
  <c r="T58" i="10"/>
  <c r="I10" i="10" l="1"/>
  <c r="I12" i="10" s="1"/>
  <c r="H63" i="10"/>
  <c r="H14" i="10"/>
  <c r="R46" i="10"/>
  <c r="R60" i="10" s="1"/>
  <c r="R11" i="10" s="1"/>
  <c r="V58" i="10"/>
  <c r="U58" i="10"/>
  <c r="J10" i="10" l="1"/>
  <c r="J12" i="10" s="1"/>
  <c r="I63" i="10"/>
  <c r="I14" i="10"/>
  <c r="B5" i="5" s="1"/>
  <c r="B2" i="5" s="1"/>
  <c r="T46" i="10"/>
  <c r="T60" i="10" s="1"/>
  <c r="T11" i="10" s="1"/>
  <c r="S46" i="10"/>
  <c r="S60" i="10" s="1"/>
  <c r="S11" i="10" s="1"/>
  <c r="K10" i="10" l="1"/>
  <c r="K12" i="10" s="1"/>
  <c r="J63" i="10"/>
  <c r="D2" i="10"/>
  <c r="D2" i="1"/>
  <c r="V46" i="10"/>
  <c r="V60" i="10" s="1"/>
  <c r="V11" i="10" s="1"/>
  <c r="U46" i="10"/>
  <c r="U60" i="10" s="1"/>
  <c r="U11" i="10" s="1"/>
  <c r="L10" i="10" l="1"/>
  <c r="L12" i="10" s="1"/>
  <c r="K63" i="10"/>
  <c r="M10" i="10" l="1"/>
  <c r="M12" i="10" s="1"/>
  <c r="L63" i="10"/>
  <c r="N10" i="10" l="1"/>
  <c r="N12" i="10" s="1"/>
  <c r="M63" i="10"/>
  <c r="O10" i="10" l="1"/>
  <c r="O12" i="10" s="1"/>
  <c r="N63" i="10"/>
  <c r="P10" i="10" l="1"/>
  <c r="P12" i="10" s="1"/>
  <c r="O63" i="10"/>
  <c r="Q10" i="10" l="1"/>
  <c r="Q12" i="10" s="1"/>
  <c r="P63" i="10"/>
  <c r="R10" i="10" l="1"/>
  <c r="R12" i="10" s="1"/>
  <c r="Q63" i="10"/>
  <c r="S10" i="10" l="1"/>
  <c r="S12" i="10" s="1"/>
  <c r="R63" i="10"/>
  <c r="T10" i="10" l="1"/>
  <c r="T12" i="10" s="1"/>
  <c r="S63" i="10"/>
  <c r="U10" i="10" l="1"/>
  <c r="U12" i="10" s="1"/>
  <c r="T63" i="10"/>
  <c r="V10" i="10" l="1"/>
  <c r="V12" i="10" s="1"/>
  <c r="V63" i="10" s="1"/>
  <c r="U63" i="10"/>
</calcChain>
</file>

<file path=xl/sharedStrings.xml><?xml version="1.0" encoding="utf-8"?>
<sst xmlns="http://schemas.openxmlformats.org/spreadsheetml/2006/main" count="960" uniqueCount="251">
  <si>
    <t>Actual / Forecast</t>
  </si>
  <si>
    <t>Week Number</t>
  </si>
  <si>
    <t>Week Beginning</t>
  </si>
  <si>
    <t>Week Ending</t>
  </si>
  <si>
    <t>Actual</t>
  </si>
  <si>
    <t>Forecast</t>
  </si>
  <si>
    <t>Cash Balance</t>
  </si>
  <si>
    <t xml:space="preserve">  Change in Cash</t>
  </si>
  <si>
    <t>Ending Cash</t>
  </si>
  <si>
    <t>DATE</t>
  </si>
  <si>
    <t>TRANSACTION</t>
  </si>
  <si>
    <t>DESCRIPTION</t>
  </si>
  <si>
    <t>AMOUNT</t>
  </si>
  <si>
    <t>BALANCE</t>
  </si>
  <si>
    <t>DEBIT</t>
  </si>
  <si>
    <t>WEB AUTHORIZED PMT KRYPTONIX</t>
  </si>
  <si>
    <t>CHECK</t>
  </si>
  <si>
    <t>CREDIT</t>
  </si>
  <si>
    <t>DEPOSIT</t>
  </si>
  <si>
    <t>ELECTRONIC WITHDRAWAL GLOWTECH</t>
  </si>
  <si>
    <t>ELECTRONIC WITHDRAWAL STATE DEPT REVENUE</t>
  </si>
  <si>
    <t>ELECTRONIC WITHDRAWAL IRS</t>
  </si>
  <si>
    <t>ELECTRONIC WITHDRAWAL PAYROLL</t>
  </si>
  <si>
    <t>ELECTRONIC WITHDRAWAL FRACTALIX</t>
  </si>
  <si>
    <t>ELECTRONIC WITHDRAWAL CRYONIX</t>
  </si>
  <si>
    <t>ELECTRONIC WITHDRAWAL HYPERTECH</t>
  </si>
  <si>
    <t>ELECTRONIC DEPOSIT ZONIX</t>
  </si>
  <si>
    <t>WEB AUTHORIZED PMT LUCENTIX</t>
  </si>
  <si>
    <t>ELECTRONIC WITHDRAWAL STATE DMV</t>
  </si>
  <si>
    <t>ELECTRONIC WITHDRAWAL BLITZIX</t>
  </si>
  <si>
    <t>ELECTRONIC WITHDRAWAL CAPITALONE</t>
  </si>
  <si>
    <t>ELECTRONIC WITHDRAWAL ETERNIX</t>
  </si>
  <si>
    <t>ELECTRONIC WITHDRAWAL DYNACORP</t>
  </si>
  <si>
    <t>ELECTRONIC WITHDRAWAL IRIDIUMIX</t>
  </si>
  <si>
    <t>ELECTRONIC WITHDRAWAL DISCOVER</t>
  </si>
  <si>
    <t>ELECTRONIC DEPOSIT ARCATECH</t>
  </si>
  <si>
    <t>ELECTRONIC WITHDRAWAL JUNCTIX</t>
  </si>
  <si>
    <t>WEEK ENDING</t>
  </si>
  <si>
    <t>UNIQUE ID</t>
  </si>
  <si>
    <t>CATEGORY</t>
  </si>
  <si>
    <t>CATEGORY CHECK</t>
  </si>
  <si>
    <t>TRANSACTION NUMBER</t>
  </si>
  <si>
    <t>Explanation</t>
  </si>
  <si>
    <t>Sheet</t>
  </si>
  <si>
    <t>In excel weekday function uses numbers for days. So 1 = Sunday and 7 = Saturday. Cell F2, in bankstatment tab has date of 16/10/2023 and we have added 7 days which makes it to 23/10/2023. We need to remove two days to get to 21/10/2023. Therefore, weekday(F2), which is 16th Oct 23 if you check the calendar it will be Monday and hence as per weekday function it takes 2, therefore, from 23/10/2023 removes 2 leaving it to be 21/10/2023. Since, we are doing weekly cashflow, therefore, we need week ending on Saturday.</t>
  </si>
  <si>
    <t>Formula</t>
  </si>
  <si>
    <t>Master Error Check Cell</t>
  </si>
  <si>
    <t>Forecast does not match the data</t>
  </si>
  <si>
    <t>Total Cash Inflows</t>
  </si>
  <si>
    <t>Operating Cash Outflows</t>
  </si>
  <si>
    <t>Cash Inflows</t>
  </si>
  <si>
    <t>Accounts Payable</t>
  </si>
  <si>
    <t>Credit Cards</t>
  </si>
  <si>
    <t>Payroll</t>
  </si>
  <si>
    <t>Trailing 6 Week Average</t>
  </si>
  <si>
    <t>Contractors</t>
  </si>
  <si>
    <t>Enter Manually</t>
  </si>
  <si>
    <t>Dues &amp; Subscriptions</t>
  </si>
  <si>
    <t>Insurance</t>
  </si>
  <si>
    <t>Lease Payments</t>
  </si>
  <si>
    <t>Marketing</t>
  </si>
  <si>
    <t>Phone &amp; Internet</t>
  </si>
  <si>
    <t>Professional Fees</t>
  </si>
  <si>
    <t>$5k each Month</t>
  </si>
  <si>
    <t>Rent</t>
  </si>
  <si>
    <t>Repairs &amp; Maintenance</t>
  </si>
  <si>
    <t>Supplies</t>
  </si>
  <si>
    <t>Licenses</t>
  </si>
  <si>
    <t>Technology</t>
  </si>
  <si>
    <t>Training</t>
  </si>
  <si>
    <t>Travel &amp; Entertainment</t>
  </si>
  <si>
    <t>Utilities</t>
  </si>
  <si>
    <t>Vehicles</t>
  </si>
  <si>
    <t>$7k each Month</t>
  </si>
  <si>
    <t>Other Operating Outflows</t>
  </si>
  <si>
    <t>Total Operating Cash Outflows</t>
  </si>
  <si>
    <t>Non-Operating Cash Outflows</t>
  </si>
  <si>
    <t>Capital Expenditures</t>
  </si>
  <si>
    <t>Debt Proceeds</t>
  </si>
  <si>
    <t>Interest Payments</t>
  </si>
  <si>
    <t>Principal Payments</t>
  </si>
  <si>
    <t>Tax Distributions</t>
  </si>
  <si>
    <t>Equity Distributions</t>
  </si>
  <si>
    <t>Equity Contributions</t>
  </si>
  <si>
    <t>Other Non-operating Outflows</t>
  </si>
  <si>
    <t xml:space="preserve">  Beginning Cash</t>
  </si>
  <si>
    <t xml:space="preserve">  Double-Check</t>
  </si>
  <si>
    <t xml:space="preserve">  Invoice Revenue Receipts</t>
  </si>
  <si>
    <t xml:space="preserve">  Other Receipts</t>
  </si>
  <si>
    <t>Total Non-operating Cash Outflows</t>
  </si>
  <si>
    <t>Change in Cash</t>
  </si>
  <si>
    <t>Description Contains</t>
  </si>
  <si>
    <t>Category</t>
  </si>
  <si>
    <t>BLITZIX</t>
  </si>
  <si>
    <t>CAPITALONE</t>
  </si>
  <si>
    <t>CRYONIX</t>
  </si>
  <si>
    <t>Invoiced AR + New Revenue</t>
  </si>
  <si>
    <t>DYNACORP</t>
  </si>
  <si>
    <t>ETERNIX</t>
  </si>
  <si>
    <t>IRS</t>
  </si>
  <si>
    <t>KRYPTONIX</t>
  </si>
  <si>
    <t>DISCOVER</t>
  </si>
  <si>
    <t>FRACTALIX</t>
  </si>
  <si>
    <t>GLOWTECH</t>
  </si>
  <si>
    <t>PAYROLL</t>
  </si>
  <si>
    <t>HYPERTECH</t>
  </si>
  <si>
    <t>ZONIX</t>
  </si>
  <si>
    <t>STATE DEPT REVENUE</t>
  </si>
  <si>
    <t>STATE DMV</t>
  </si>
  <si>
    <t>LUCENTIX</t>
  </si>
  <si>
    <t>ARCATECH</t>
  </si>
  <si>
    <t>MERIDIANTECH</t>
  </si>
  <si>
    <t>IRIDIUMIX</t>
  </si>
  <si>
    <t>JUNCTIX</t>
  </si>
  <si>
    <t>Unique ID Match</t>
  </si>
  <si>
    <t>Category Check</t>
  </si>
  <si>
    <t>Unique ID Contains</t>
  </si>
  <si>
    <t>5 CHECK</t>
  </si>
  <si>
    <t>15 CHECK</t>
  </si>
  <si>
    <t>18 CHECK</t>
  </si>
  <si>
    <t>69 CHECK</t>
  </si>
  <si>
    <t>72 CHECK</t>
  </si>
  <si>
    <t>73 CHECK</t>
  </si>
  <si>
    <t>136 CHECK</t>
  </si>
  <si>
    <t>150 CHECK</t>
  </si>
  <si>
    <t>151 CHECK</t>
  </si>
  <si>
    <t>193 CHECK</t>
  </si>
  <si>
    <t>198 CHECK</t>
  </si>
  <si>
    <t>199 CHECK</t>
  </si>
  <si>
    <t>200 CHECK</t>
  </si>
  <si>
    <t>245 CHECK</t>
  </si>
  <si>
    <t>256 CHECK</t>
  </si>
  <si>
    <t>258 CHECK</t>
  </si>
  <si>
    <t>285 CHECK</t>
  </si>
  <si>
    <t>290 CHECK</t>
  </si>
  <si>
    <t>291 CHECK</t>
  </si>
  <si>
    <t>300 CHECK</t>
  </si>
  <si>
    <t>345 CHECK</t>
  </si>
  <si>
    <t xml:space="preserve">First, if you have a new version of excel, then you can use XLOOKUP. But if anyone is using an older </t>
  </si>
  <si>
    <t>version then the above formula will be required. The above formula is a combination of two formulas</t>
  </si>
  <si>
    <t>1st - remember on mapping tab there are two tables, 1st is for all accounts payable and second is for everything else.</t>
  </si>
  <si>
    <t xml:space="preserve">So, the 1st formula is matching the unique ID match to accounts payable table and looking for category which is accounts payable. </t>
  </si>
  <si>
    <t xml:space="preserve">So, for all those which are not in the accounts payable section will show an error. Therefore, we need the second part of the forumal which takes incharge if there is an error. </t>
  </si>
  <si>
    <t xml:space="preserve">The 2nd part of the formual is for the second table which is all the other ID's which are not accounts payable. </t>
  </si>
  <si>
    <t xml:space="preserve">Now, in the bank statement tab the unique ID is given as transaction no and then the description. But on the 2nd table there is only description and no transaction no. Therefore, we </t>
  </si>
  <si>
    <t>need an approximate match - so the formula is as below</t>
  </si>
  <si>
    <t>Index = Data what to looked for?</t>
  </si>
  <si>
    <t>Match(true,isnumber(search(..</t>
  </si>
  <si>
    <t>Excel</t>
  </si>
  <si>
    <t>in excel when we only use search this come to numeric value for e.g. see below D20 marked yellow. The search function to look for excel is showing as numeric value.</t>
  </si>
  <si>
    <t xml:space="preserve">But what we are finding is text and hence we need to use isnumber, what isnumber does is </t>
  </si>
  <si>
    <r>
      <t xml:space="preserve">if the search result is number then </t>
    </r>
    <r>
      <rPr>
        <b/>
        <sz val="11"/>
        <color theme="1"/>
        <rFont val="Calibri"/>
        <family val="2"/>
        <scheme val="minor"/>
      </rPr>
      <t>TRUE</t>
    </r>
  </si>
  <si>
    <r>
      <t xml:space="preserve">if the search result is not number then </t>
    </r>
    <r>
      <rPr>
        <b/>
        <sz val="11"/>
        <color theme="1"/>
        <rFont val="Calibri"/>
        <family val="2"/>
        <scheme val="minor"/>
      </rPr>
      <t>FALSE</t>
    </r>
  </si>
  <si>
    <t>So isnumber positions the TRUE and match function is finding the 1st TRUE.</t>
  </si>
  <si>
    <t xml:space="preserve">  Per Bank Statement</t>
  </si>
  <si>
    <t>↓ Flows thru Model</t>
  </si>
  <si>
    <t>↓ Raw Data from AP Aging Report</t>
  </si>
  <si>
    <t>Amount</t>
  </si>
  <si>
    <t>Date</t>
  </si>
  <si>
    <t>Credit Card?</t>
  </si>
  <si>
    <t>Vendor</t>
  </si>
  <si>
    <t>Current</t>
  </si>
  <si>
    <t>1 - 30</t>
  </si>
  <si>
    <t>31 - 60</t>
  </si>
  <si>
    <t>61 - 90</t>
  </si>
  <si>
    <t>&gt; 90</t>
  </si>
  <si>
    <t>TOTAL</t>
  </si>
  <si>
    <t>Yes</t>
  </si>
  <si>
    <t>METRIX</t>
  </si>
  <si>
    <t>ORACLETECH</t>
  </si>
  <si>
    <t>PHOENIXCORP</t>
  </si>
  <si>
    <t>QUANTUMIX</t>
  </si>
  <si>
    <t>RIFTTECH</t>
  </si>
  <si>
    <t>SILVERTECH</t>
  </si>
  <si>
    <t>TITANIX</t>
  </si>
  <si>
    <t>UNICORE</t>
  </si>
  <si>
    <t>VORTEXCORP</t>
  </si>
  <si>
    <t>WINDTECH</t>
  </si>
  <si>
    <t>GRAVITONIX</t>
  </si>
  <si>
    <t>YONICORP</t>
  </si>
  <si>
    <t>ZYMOTECH</t>
  </si>
  <si>
    <t>ASTRATECH</t>
  </si>
  <si>
    <t>BIOSIX</t>
  </si>
  <si>
    <t>CORETECH</t>
  </si>
  <si>
    <t>DIODETECH</t>
  </si>
  <si>
    <t>ELEMENTIX</t>
  </si>
  <si>
    <t>FROSTIX</t>
  </si>
  <si>
    <t>HYDROTECH</t>
  </si>
  <si>
    <t>IMPULSETECH</t>
  </si>
  <si>
    <t>JOLTIX</t>
  </si>
  <si>
    <t>KONTACTIX</t>
  </si>
  <si>
    <t>LYNXTECH</t>
  </si>
  <si>
    <t>MATRIXIX</t>
  </si>
  <si>
    <t>NOMADIX</t>
  </si>
  <si>
    <t>OXYTECH</t>
  </si>
  <si>
    <t>PIONIX</t>
  </si>
  <si>
    <t>QUORATECH</t>
  </si>
  <si>
    <t>RAZORIX</t>
  </si>
  <si>
    <t>STORMTECH</t>
  </si>
  <si>
    <t>TRITONIX</t>
  </si>
  <si>
    <t>UNIVERSEIX</t>
  </si>
  <si>
    <t>VECTORTECH</t>
  </si>
  <si>
    <t>WILDCARDIX</t>
  </si>
  <si>
    <t>XCELCORP</t>
  </si>
  <si>
    <t>YETITECH</t>
  </si>
  <si>
    <t>↓ Raw Data from AR Aging Report</t>
  </si>
  <si>
    <t>Customer</t>
  </si>
  <si>
    <t>AQUATECH</t>
  </si>
  <si>
    <t>BLAZECORP</t>
  </si>
  <si>
    <t>CORELIX</t>
  </si>
  <si>
    <t>DIAMONTECH</t>
  </si>
  <si>
    <t>ECHOIX</t>
  </si>
  <si>
    <t>FLARETECH</t>
  </si>
  <si>
    <t>HELIXCORP</t>
  </si>
  <si>
    <t>ILLUMIX</t>
  </si>
  <si>
    <t>JADETECH</t>
  </si>
  <si>
    <t>KRYSTALIX</t>
  </si>
  <si>
    <t>LUXORTECH</t>
  </si>
  <si>
    <t>MAGMACORP</t>
  </si>
  <si>
    <t>NEOTRONIX</t>
  </si>
  <si>
    <t>OMEGATECH</t>
  </si>
  <si>
    <t>SONTECH</t>
  </si>
  <si>
    <t>QUARTZTECH</t>
  </si>
  <si>
    <t>REFLUXIX</t>
  </si>
  <si>
    <t>SOLARIX</t>
  </si>
  <si>
    <t>TURBOTRON</t>
  </si>
  <si>
    <t>UNITYCORP</t>
  </si>
  <si>
    <t>VIBECH</t>
  </si>
  <si>
    <t>VALEY X</t>
  </si>
  <si>
    <t>XORTECH</t>
  </si>
  <si>
    <t>YONIX</t>
  </si>
  <si>
    <t>ZIONTECH</t>
  </si>
  <si>
    <t>ASCENTIX</t>
  </si>
  <si>
    <t>BRILLIATECH</t>
  </si>
  <si>
    <t>CRYSTALTECH</t>
  </si>
  <si>
    <t>THJADETECH</t>
  </si>
  <si>
    <t>ENERGIX</t>
  </si>
  <si>
    <t>FLUXATECH</t>
  </si>
  <si>
    <t>GLOTECH</t>
  </si>
  <si>
    <t>HALOCORP</t>
  </si>
  <si>
    <t>INTELIX</t>
  </si>
  <si>
    <t>JUPITERIX</t>
  </si>
  <si>
    <t>KOSMIX</t>
  </si>
  <si>
    <t>ZJADETECH</t>
  </si>
  <si>
    <t>In the summary tab we want to pull data from the forecast tab. As the new data keeps coming in we want the summary tab to pick the last data. Summary tab is to show the summary of the forecast and it should auto update from forecast tab.</t>
  </si>
  <si>
    <t>Summary sheet mismatch</t>
  </si>
  <si>
    <t xml:space="preserve">  Last Week's Forecast</t>
  </si>
  <si>
    <t>Week End Date</t>
  </si>
  <si>
    <t>This week's forecast</t>
  </si>
  <si>
    <t>Last week's forecast</t>
  </si>
  <si>
    <t>Sharpe and Sortino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</si>
</sst>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quot;£&quot;#,##0"/>
    <numFmt numFmtId="43" formatCode="_-* #,##0.00_-;\-* #,##0.00_-;_-* &quot;-&quot;??_-;_-@_-"/>
    <numFmt numFmtId="164" formatCode="&quot;£&quot;#,##0"/>
    <numFmt numFmtId="165" formatCode="&quot;£&quot;#,##0.00"/>
    <numFmt numFmtId="166" formatCode="&quot;£&quot;#,##0.00;[Red]\(&quot;£&quot;#,###\);&quot;-&quot;"/>
    <numFmt numFmtId="167" formatCode="&quot;£&quot;#,##0;[Red]\(&quot;£&quot;#,###\);&quot;-&quot;"/>
    <numFmt numFmtId="168" formatCode="&quot;$&quot;#,##0.00_);\(&quot;$&quot;#,##0.00\)"/>
    <numFmt numFmtId="169" formatCode="&quot;Payable&quot;\ 0"/>
    <numFmt numFmtId="170" formatCode="&quot;$&quot;#,##0_);\(&quot;$&quot;#,##0\);\-"/>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u/>
      <sz val="10"/>
      <color theme="1"/>
      <name val="Calibri"/>
      <family val="2"/>
      <scheme val="minor"/>
    </font>
    <font>
      <sz val="10"/>
      <color theme="1"/>
      <name val="Calibri"/>
      <family val="2"/>
    </font>
    <font>
      <sz val="10"/>
      <color rgb="FF0070C0"/>
      <name val="Calibri"/>
      <family val="2"/>
    </font>
    <font>
      <sz val="10"/>
      <name val="Calibri"/>
      <family val="2"/>
    </font>
    <font>
      <sz val="8"/>
      <color theme="1"/>
      <name val="Calibri"/>
      <family val="2"/>
      <scheme val="minor"/>
    </font>
    <font>
      <b/>
      <sz val="10"/>
      <color theme="1"/>
      <name val="Calibri"/>
      <family val="2"/>
    </font>
    <font>
      <b/>
      <i/>
      <sz val="10"/>
      <color rgb="FF000000"/>
      <name val="Calibri"/>
      <family val="2"/>
    </font>
    <font>
      <b/>
      <sz val="10"/>
      <name val="Calibri"/>
      <family val="2"/>
    </font>
    <font>
      <i/>
      <sz val="10"/>
      <color rgb="FF000000"/>
      <name val="Calibri"/>
      <family val="2"/>
    </font>
    <font>
      <b/>
      <sz val="10"/>
      <color theme="0"/>
      <name val="Calibri"/>
      <family val="2"/>
    </font>
    <font>
      <sz val="10"/>
      <color rgb="FFFF0000"/>
      <name val="Calibri"/>
      <family val="2"/>
      <scheme val="minor"/>
    </font>
    <font>
      <sz val="10"/>
      <color rgb="FF0070C0"/>
      <name val="Calibri"/>
      <family val="2"/>
      <scheme val="minor"/>
    </font>
    <font>
      <b/>
      <sz val="10"/>
      <name val="Calibri"/>
      <family val="2"/>
      <scheme val="minor"/>
    </font>
    <font>
      <b/>
      <u val="singleAccounting"/>
      <sz val="10"/>
      <color theme="0"/>
      <name val="Calibri"/>
      <family val="2"/>
    </font>
    <font>
      <b/>
      <sz val="11"/>
      <color theme="0"/>
      <name val="Calibri"/>
      <family val="2"/>
      <scheme val="minor"/>
    </font>
    <font>
      <sz val="10"/>
      <name val="Calibri"/>
      <family val="2"/>
      <scheme val="minor"/>
    </font>
    <font>
      <b/>
      <u/>
      <sz val="10"/>
      <color rgb="FF008000"/>
      <name val="Calibri"/>
      <family val="2"/>
      <scheme val="minor"/>
    </font>
    <font>
      <u/>
      <sz val="11"/>
      <color theme="10"/>
      <name val="Calibri"/>
      <family val="2"/>
      <scheme val="minor"/>
    </font>
    <font>
      <u/>
      <sz val="36"/>
      <color theme="0"/>
      <name val="Calibri"/>
      <family val="2"/>
      <scheme val="minor"/>
    </font>
    <font>
      <b/>
      <sz val="10"/>
      <color theme="0"/>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00B0F0"/>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6" fillId="0" borderId="0"/>
    <xf numFmtId="0" fontId="22" fillId="0" borderId="0" applyNumberFormat="0" applyFill="0" applyBorder="0" applyAlignment="0" applyProtection="0"/>
  </cellStyleXfs>
  <cellXfs count="83">
    <xf numFmtId="0" fontId="0" fillId="0" borderId="0" xfId="0"/>
    <xf numFmtId="0" fontId="3" fillId="0" borderId="0" xfId="0" applyFont="1"/>
    <xf numFmtId="0" fontId="4" fillId="3" borderId="0" xfId="0" applyFont="1" applyFill="1"/>
    <xf numFmtId="0" fontId="4" fillId="3" borderId="0" xfId="0" applyFont="1" applyFill="1" applyAlignment="1">
      <alignment horizontal="center"/>
    </xf>
    <xf numFmtId="16" fontId="4" fillId="3" borderId="0" xfId="0" applyNumberFormat="1" applyFont="1" applyFill="1" applyAlignment="1">
      <alignment horizontal="center"/>
    </xf>
    <xf numFmtId="0" fontId="5" fillId="3" borderId="0" xfId="0" applyFont="1" applyFill="1"/>
    <xf numFmtId="16" fontId="5" fillId="3" borderId="0" xfId="0" applyNumberFormat="1" applyFont="1" applyFill="1" applyAlignment="1">
      <alignment horizontal="center"/>
    </xf>
    <xf numFmtId="0" fontId="6" fillId="0" borderId="0" xfId="2"/>
    <xf numFmtId="14" fontId="6" fillId="0" borderId="0" xfId="2" applyNumberFormat="1"/>
    <xf numFmtId="0" fontId="7" fillId="0" borderId="0" xfId="2" applyFont="1"/>
    <xf numFmtId="14" fontId="7" fillId="0" borderId="0" xfId="2" applyNumberFormat="1" applyFont="1"/>
    <xf numFmtId="43" fontId="7" fillId="0" borderId="0" xfId="1" applyFont="1"/>
    <xf numFmtId="0" fontId="8" fillId="0" borderId="0" xfId="2" applyFont="1"/>
    <xf numFmtId="43" fontId="8" fillId="0" borderId="0" xfId="1" applyFont="1"/>
    <xf numFmtId="0" fontId="7" fillId="0" borderId="0" xfId="2" applyFont="1" applyAlignment="1">
      <alignment horizontal="center"/>
    </xf>
    <xf numFmtId="0" fontId="4" fillId="0" borderId="1" xfId="0" applyFont="1" applyBorder="1"/>
    <xf numFmtId="0" fontId="0" fillId="0" borderId="3" xfId="0" applyBorder="1"/>
    <xf numFmtId="0" fontId="0" fillId="0" borderId="4" xfId="0" applyBorder="1"/>
    <xf numFmtId="0" fontId="9" fillId="0" borderId="0" xfId="0" applyFont="1"/>
    <xf numFmtId="0" fontId="9" fillId="0" borderId="4" xfId="0" applyFont="1" applyBorder="1"/>
    <xf numFmtId="0" fontId="10" fillId="0" borderId="5" xfId="0" applyFont="1" applyBorder="1"/>
    <xf numFmtId="0" fontId="11" fillId="0" borderId="5" xfId="0" applyFont="1" applyBorder="1"/>
    <xf numFmtId="0" fontId="13" fillId="0" borderId="0" xfId="0" applyFont="1"/>
    <xf numFmtId="0" fontId="3" fillId="0" borderId="0" xfId="0" applyFont="1" applyAlignment="1">
      <alignment horizontal="left" indent="1"/>
    </xf>
    <xf numFmtId="0" fontId="4" fillId="0" borderId="2" xfId="0" applyFont="1" applyBorder="1"/>
    <xf numFmtId="0" fontId="10" fillId="0" borderId="2" xfId="0" applyFont="1" applyBorder="1"/>
    <xf numFmtId="0" fontId="11" fillId="0" borderId="2" xfId="0" applyFont="1" applyBorder="1"/>
    <xf numFmtId="0" fontId="10" fillId="0" borderId="0" xfId="2" applyFont="1"/>
    <xf numFmtId="0" fontId="0" fillId="4" borderId="0" xfId="0" applyFill="1" applyAlignment="1">
      <alignment vertical="center"/>
    </xf>
    <xf numFmtId="0" fontId="0" fillId="4" borderId="0" xfId="0" applyFill="1" applyAlignment="1">
      <alignment horizontal="left" wrapText="1"/>
    </xf>
    <xf numFmtId="164" fontId="12" fillId="0" borderId="5" xfId="0" applyNumberFormat="1" applyFont="1" applyBorder="1"/>
    <xf numFmtId="5" fontId="3" fillId="0" borderId="0" xfId="1" applyNumberFormat="1" applyFont="1"/>
    <xf numFmtId="5" fontId="3" fillId="0" borderId="0" xfId="0" applyNumberFormat="1" applyFont="1"/>
    <xf numFmtId="5" fontId="12" fillId="0" borderId="5" xfId="0" applyNumberFormat="1" applyFont="1" applyBorder="1"/>
    <xf numFmtId="5" fontId="8" fillId="0" borderId="0" xfId="0" applyNumberFormat="1" applyFont="1"/>
    <xf numFmtId="5" fontId="4" fillId="0" borderId="2" xfId="0" applyNumberFormat="1" applyFont="1" applyBorder="1"/>
    <xf numFmtId="164" fontId="3" fillId="0" borderId="0" xfId="0" applyNumberFormat="1" applyFont="1"/>
    <xf numFmtId="5" fontId="12" fillId="0" borderId="5" xfId="1" applyNumberFormat="1" applyFont="1" applyBorder="1"/>
    <xf numFmtId="5" fontId="3" fillId="2" borderId="0" xfId="1" applyNumberFormat="1" applyFont="1" applyFill="1"/>
    <xf numFmtId="166" fontId="3" fillId="0" borderId="0" xfId="1" applyNumberFormat="1" applyFont="1"/>
    <xf numFmtId="167" fontId="15" fillId="0" borderId="0" xfId="1" applyNumberFormat="1" applyFont="1"/>
    <xf numFmtId="167" fontId="16" fillId="0" borderId="0" xfId="1" applyNumberFormat="1" applyFont="1"/>
    <xf numFmtId="0" fontId="17" fillId="3" borderId="0" xfId="0" applyFont="1" applyFill="1" applyAlignment="1">
      <alignment horizontal="center"/>
    </xf>
    <xf numFmtId="14" fontId="8" fillId="5" borderId="6" xfId="2" applyNumberFormat="1" applyFont="1" applyFill="1" applyBorder="1"/>
    <xf numFmtId="14" fontId="8" fillId="5" borderId="6" xfId="2" applyNumberFormat="1" applyFont="1" applyFill="1" applyBorder="1" applyAlignment="1">
      <alignment horizontal="center"/>
    </xf>
    <xf numFmtId="169" fontId="8" fillId="0" borderId="6" xfId="2" applyNumberFormat="1" applyFont="1" applyBorder="1" applyAlignment="1">
      <alignment horizontal="left"/>
    </xf>
    <xf numFmtId="168" fontId="6" fillId="0" borderId="0" xfId="2" applyNumberFormat="1"/>
    <xf numFmtId="0" fontId="8" fillId="3" borderId="6" xfId="2" applyFont="1" applyFill="1" applyBorder="1"/>
    <xf numFmtId="0" fontId="8" fillId="0" borderId="6" xfId="2" applyFont="1" applyBorder="1"/>
    <xf numFmtId="14" fontId="6" fillId="5" borderId="6" xfId="2" applyNumberFormat="1" applyFill="1" applyBorder="1"/>
    <xf numFmtId="14" fontId="6" fillId="5" borderId="6" xfId="2" applyNumberFormat="1" applyFill="1" applyBorder="1" applyAlignment="1">
      <alignment horizontal="center"/>
    </xf>
    <xf numFmtId="169" fontId="6" fillId="0" borderId="6" xfId="2" applyNumberFormat="1" applyBorder="1" applyAlignment="1">
      <alignment horizontal="left"/>
    </xf>
    <xf numFmtId="0" fontId="6" fillId="3" borderId="6" xfId="2" applyFill="1" applyBorder="1"/>
    <xf numFmtId="169" fontId="6" fillId="3" borderId="6" xfId="2" applyNumberFormat="1" applyFill="1" applyBorder="1" applyAlignment="1">
      <alignment horizontal="left"/>
    </xf>
    <xf numFmtId="0" fontId="6" fillId="0" borderId="6" xfId="2" applyBorder="1"/>
    <xf numFmtId="0" fontId="10" fillId="3" borderId="6" xfId="2" applyFont="1" applyFill="1" applyBorder="1"/>
    <xf numFmtId="169" fontId="10" fillId="0" borderId="6" xfId="2" applyNumberFormat="1" applyFont="1" applyBorder="1" applyAlignment="1">
      <alignment horizontal="left"/>
    </xf>
    <xf numFmtId="165" fontId="6" fillId="5" borderId="6" xfId="2" applyNumberFormat="1" applyFill="1" applyBorder="1"/>
    <xf numFmtId="165" fontId="6" fillId="0" borderId="6" xfId="2" applyNumberFormat="1" applyBorder="1"/>
    <xf numFmtId="165" fontId="6" fillId="3" borderId="6" xfId="2" applyNumberFormat="1" applyFill="1" applyBorder="1"/>
    <xf numFmtId="165" fontId="8" fillId="5" borderId="6" xfId="2" applyNumberFormat="1" applyFont="1" applyFill="1" applyBorder="1"/>
    <xf numFmtId="165" fontId="8" fillId="0" borderId="6" xfId="2" applyNumberFormat="1" applyFont="1" applyBorder="1"/>
    <xf numFmtId="165" fontId="8" fillId="3" borderId="6" xfId="2" applyNumberFormat="1" applyFont="1" applyFill="1" applyBorder="1"/>
    <xf numFmtId="167" fontId="20" fillId="0" borderId="0" xfId="1" applyNumberFormat="1" applyFont="1"/>
    <xf numFmtId="16" fontId="21" fillId="3" borderId="0" xfId="0" applyNumberFormat="1" applyFont="1" applyFill="1" applyAlignment="1">
      <alignment horizontal="center"/>
    </xf>
    <xf numFmtId="5" fontId="3" fillId="0" borderId="0" xfId="1" applyNumberFormat="1" applyFont="1" applyFill="1"/>
    <xf numFmtId="170" fontId="7" fillId="6" borderId="0" xfId="0" applyNumberFormat="1" applyFont="1" applyFill="1"/>
    <xf numFmtId="16" fontId="3" fillId="0" borderId="0" xfId="0" applyNumberFormat="1" applyFont="1"/>
    <xf numFmtId="167" fontId="3" fillId="0" borderId="0" xfId="0" applyNumberFormat="1" applyFont="1"/>
    <xf numFmtId="0" fontId="3" fillId="7" borderId="0" xfId="0" applyFont="1" applyFill="1"/>
    <xf numFmtId="0" fontId="23" fillId="7" borderId="0" xfId="3" applyFont="1" applyFill="1"/>
    <xf numFmtId="0" fontId="18" fillId="7" borderId="6" xfId="2" applyFont="1" applyFill="1" applyBorder="1" applyAlignment="1">
      <alignment horizontal="centerContinuous"/>
    </xf>
    <xf numFmtId="0" fontId="14" fillId="7" borderId="6" xfId="2" applyFont="1" applyFill="1" applyBorder="1" applyAlignment="1">
      <alignment horizontal="center"/>
    </xf>
    <xf numFmtId="0" fontId="14" fillId="7" borderId="6" xfId="2" applyFont="1" applyFill="1" applyBorder="1"/>
    <xf numFmtId="0" fontId="19" fillId="7" borderId="0" xfId="0" applyFont="1" applyFill="1" applyAlignment="1">
      <alignment horizontal="center"/>
    </xf>
    <xf numFmtId="0" fontId="24" fillId="7" borderId="0" xfId="0" applyFont="1" applyFill="1" applyAlignment="1">
      <alignment horizontal="center"/>
    </xf>
    <xf numFmtId="0" fontId="6" fillId="7" borderId="0" xfId="2" applyFill="1" applyAlignment="1">
      <alignment horizontal="center"/>
    </xf>
    <xf numFmtId="0" fontId="4" fillId="8" borderId="0" xfId="0" applyFont="1" applyFill="1" applyAlignment="1">
      <alignment horizontal="center"/>
    </xf>
    <xf numFmtId="0" fontId="3" fillId="0" borderId="0" xfId="0" applyFont="1" applyFill="1"/>
    <xf numFmtId="0" fontId="0" fillId="4" borderId="0" xfId="0" applyFill="1" applyAlignment="1">
      <alignment wrapText="1"/>
    </xf>
    <xf numFmtId="0" fontId="0" fillId="4" borderId="0" xfId="0" applyFill="1"/>
    <xf numFmtId="0" fontId="2" fillId="4" borderId="0" xfId="0" applyFont="1" applyFill="1" applyAlignment="1">
      <alignment horizontal="center" vertical="center"/>
    </xf>
    <xf numFmtId="0" fontId="2" fillId="4" borderId="0" xfId="0" applyFont="1" applyFill="1"/>
  </cellXfs>
  <cellStyles count="4">
    <cellStyle name="Comma" xfId="1" builtinId="3"/>
    <cellStyle name="Hyperlink" xfId="3" builtinId="8"/>
    <cellStyle name="Normal" xfId="0" builtinId="0"/>
    <cellStyle name="Normal 2" xfId="2" xr:uid="{029310C0-2A31-4D34-AA0A-AA9D4B947C1E}"/>
  </cellStyles>
  <dxfs count="16">
    <dxf>
      <font>
        <color rgb="FF006100"/>
      </font>
      <fill>
        <patternFill>
          <bgColor rgb="FFC6EFCE"/>
        </patternFill>
      </fill>
    </dxf>
    <dxf>
      <font>
        <b/>
        <i val="0"/>
        <color rgb="FFFFFF00"/>
      </font>
      <fill>
        <patternFill>
          <bgColor rgb="FFFF0000"/>
        </patternFill>
      </fill>
    </dxf>
    <dxf>
      <font>
        <b/>
        <i val="0"/>
        <color rgb="FFFFFF00"/>
      </font>
      <fill>
        <patternFill>
          <bgColor rgb="FFFF0000"/>
        </patternFill>
      </fill>
    </dxf>
    <dxf>
      <font>
        <color rgb="FF006100"/>
      </font>
      <fill>
        <patternFill>
          <bgColor rgb="FFC6EFCE"/>
        </patternFill>
      </fill>
    </dxf>
    <dxf>
      <font>
        <b/>
        <i val="0"/>
        <color rgb="FFFFFF00"/>
      </font>
      <fill>
        <patternFill>
          <bgColor rgb="FFFF0000"/>
        </patternFill>
      </fill>
    </dxf>
    <dxf>
      <font>
        <b/>
        <i val="0"/>
        <color rgb="FFFFFF00"/>
      </font>
      <fill>
        <patternFill>
          <bgColor rgb="FFFF0000"/>
        </patternFill>
      </fill>
    </dxf>
    <dxf>
      <font>
        <color rgb="FF006100"/>
      </font>
      <fill>
        <patternFill>
          <bgColor rgb="FFC6EFCE"/>
        </patternFill>
      </fill>
    </dxf>
    <dxf>
      <font>
        <b/>
        <i val="0"/>
        <color rgb="FFFFFF00"/>
      </font>
      <fill>
        <patternFill>
          <bgColor rgb="FFFF0000"/>
        </patternFill>
      </fill>
    </dxf>
    <dxf>
      <font>
        <b/>
        <i val="0"/>
        <color rgb="FFFFFF00"/>
      </font>
      <fill>
        <patternFill>
          <bgColor rgb="FFFF0000"/>
        </patternFill>
      </fill>
    </dxf>
    <dxf>
      <font>
        <color rgb="FF006100"/>
      </font>
      <fill>
        <patternFill>
          <bgColor rgb="FFC6EFCE"/>
        </patternFill>
      </fill>
    </dxf>
    <dxf>
      <font>
        <b/>
        <i val="0"/>
        <color rgb="FFFFFF00"/>
      </font>
      <fill>
        <patternFill>
          <bgColor rgb="FFFF0000"/>
        </patternFill>
      </fill>
    </dxf>
    <dxf>
      <font>
        <b/>
        <i val="0"/>
        <color rgb="FFFFFF00"/>
      </font>
      <fill>
        <patternFill>
          <bgColor rgb="FFFF0000"/>
        </patternFill>
      </fill>
    </dxf>
    <dxf>
      <fill>
        <patternFill patternType="solid">
          <fgColor indexed="64"/>
          <bgColor rgb="FF002060"/>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002060"/>
        </patternFill>
      </fill>
      <alignment horizontal="center" vertical="bottom" textRotation="0" wrapText="0" indent="0" justifyLastLine="0" shrinkToFit="0" readingOrder="0"/>
    </dxf>
    <dxf>
      <numFmt numFmtId="0" formatCode="General"/>
    </dxf>
    <dxf>
      <numFmt numFmtId="0" formatCode="General"/>
    </dxf>
  </dxfs>
  <tableStyles count="0" defaultTableStyle="TableStyleMedium2" defaultPivotStyle="PivotStyleLight16"/>
  <colors>
    <mruColors>
      <color rgb="FF008000"/>
      <color rgb="FFCCFFCC"/>
      <color rgb="FF009900"/>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Ending Cash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Summary!$C$63</c:f>
              <c:strCache>
                <c:ptCount val="1"/>
                <c:pt idx="0">
                  <c:v>This week's forecast</c:v>
                </c:pt>
              </c:strCache>
            </c:strRef>
          </c:tx>
          <c:spPr>
            <a:ln w="28575" cap="rnd">
              <a:solidFill>
                <a:schemeClr val="accent1"/>
              </a:solidFill>
              <a:round/>
            </a:ln>
            <a:effectLst/>
          </c:spPr>
          <c:marker>
            <c:symbol val="none"/>
          </c:marker>
          <c:cat>
            <c:numRef>
              <c:f>Summary!$D$62:$V$62</c:f>
              <c:numCache>
                <c:formatCode>d\-mmm</c:formatCode>
                <c:ptCount val="19"/>
                <c:pt idx="0">
                  <c:v>45227</c:v>
                </c:pt>
                <c:pt idx="1">
                  <c:v>45234</c:v>
                </c:pt>
                <c:pt idx="2">
                  <c:v>45241</c:v>
                </c:pt>
                <c:pt idx="3">
                  <c:v>45248</c:v>
                </c:pt>
                <c:pt idx="4">
                  <c:v>45255</c:v>
                </c:pt>
                <c:pt idx="5">
                  <c:v>45262</c:v>
                </c:pt>
                <c:pt idx="6">
                  <c:v>45269</c:v>
                </c:pt>
                <c:pt idx="7">
                  <c:v>45276</c:v>
                </c:pt>
                <c:pt idx="8">
                  <c:v>45283</c:v>
                </c:pt>
                <c:pt idx="9">
                  <c:v>45290</c:v>
                </c:pt>
                <c:pt idx="10">
                  <c:v>45297</c:v>
                </c:pt>
                <c:pt idx="11">
                  <c:v>45304</c:v>
                </c:pt>
                <c:pt idx="12">
                  <c:v>45311</c:v>
                </c:pt>
                <c:pt idx="13">
                  <c:v>45318</c:v>
                </c:pt>
                <c:pt idx="14">
                  <c:v>45325</c:v>
                </c:pt>
                <c:pt idx="15">
                  <c:v>45332</c:v>
                </c:pt>
                <c:pt idx="16">
                  <c:v>45339</c:v>
                </c:pt>
                <c:pt idx="17">
                  <c:v>45346</c:v>
                </c:pt>
                <c:pt idx="18">
                  <c:v>45353</c:v>
                </c:pt>
              </c:numCache>
            </c:numRef>
          </c:cat>
          <c:val>
            <c:numRef>
              <c:f>Summary!$D$63:$V$63</c:f>
              <c:numCache>
                <c:formatCode>"£"#,##0_);\("£"#,##0\)</c:formatCode>
                <c:ptCount val="19"/>
                <c:pt idx="0">
                  <c:v>210210</c:v>
                </c:pt>
                <c:pt idx="1">
                  <c:v>174090</c:v>
                </c:pt>
                <c:pt idx="2">
                  <c:v>239110</c:v>
                </c:pt>
                <c:pt idx="3">
                  <c:v>43360</c:v>
                </c:pt>
                <c:pt idx="4">
                  <c:v>325260</c:v>
                </c:pt>
                <c:pt idx="5">
                  <c:v>215160</c:v>
                </c:pt>
                <c:pt idx="6">
                  <c:v>112041.66666666667</c:v>
                </c:pt>
                <c:pt idx="7">
                  <c:v>156995.27777777778</c:v>
                </c:pt>
                <c:pt idx="8">
                  <c:v>399451.15740740742</c:v>
                </c:pt>
                <c:pt idx="9">
                  <c:v>415303.01697530865</c:v>
                </c:pt>
                <c:pt idx="10">
                  <c:v>382731.85313786007</c:v>
                </c:pt>
                <c:pt idx="11">
                  <c:v>316373.82866083673</c:v>
                </c:pt>
                <c:pt idx="12">
                  <c:v>519442.80010430957</c:v>
                </c:pt>
                <c:pt idx="13">
                  <c:v>532142.98901058338</c:v>
                </c:pt>
                <c:pt idx="14">
                  <c:v>472334.27421605098</c:v>
                </c:pt>
                <c:pt idx="15">
                  <c:v>279031.46035082493</c:v>
                </c:pt>
                <c:pt idx="16">
                  <c:v>412252.86758007761</c:v>
                </c:pt>
                <c:pt idx="17">
                  <c:v>580273.03665378049</c:v>
                </c:pt>
                <c:pt idx="18">
                  <c:v>291189.57131927111</c:v>
                </c:pt>
              </c:numCache>
            </c:numRef>
          </c:val>
          <c:smooth val="0"/>
          <c:extLst>
            <c:ext xmlns:c16="http://schemas.microsoft.com/office/drawing/2014/chart" uri="{C3380CC4-5D6E-409C-BE32-E72D297353CC}">
              <c16:uniqueId val="{00000000-B3BE-4BA5-ADF9-B461B653AD8A}"/>
            </c:ext>
          </c:extLst>
        </c:ser>
        <c:ser>
          <c:idx val="1"/>
          <c:order val="1"/>
          <c:tx>
            <c:strRef>
              <c:f>Summary!$C$64</c:f>
              <c:strCache>
                <c:ptCount val="1"/>
                <c:pt idx="0">
                  <c:v>Last week's forecast</c:v>
                </c:pt>
              </c:strCache>
            </c:strRef>
          </c:tx>
          <c:spPr>
            <a:ln w="28575" cap="rnd">
              <a:solidFill>
                <a:schemeClr val="accent2"/>
              </a:solidFill>
              <a:round/>
            </a:ln>
            <a:effectLst/>
          </c:spPr>
          <c:marker>
            <c:symbol val="none"/>
          </c:marker>
          <c:cat>
            <c:numRef>
              <c:f>Summary!$D$62:$V$62</c:f>
              <c:numCache>
                <c:formatCode>d\-mmm</c:formatCode>
                <c:ptCount val="19"/>
                <c:pt idx="0">
                  <c:v>45227</c:v>
                </c:pt>
                <c:pt idx="1">
                  <c:v>45234</c:v>
                </c:pt>
                <c:pt idx="2">
                  <c:v>45241</c:v>
                </c:pt>
                <c:pt idx="3">
                  <c:v>45248</c:v>
                </c:pt>
                <c:pt idx="4">
                  <c:v>45255</c:v>
                </c:pt>
                <c:pt idx="5">
                  <c:v>45262</c:v>
                </c:pt>
                <c:pt idx="6">
                  <c:v>45269</c:v>
                </c:pt>
                <c:pt idx="7">
                  <c:v>45276</c:v>
                </c:pt>
                <c:pt idx="8">
                  <c:v>45283</c:v>
                </c:pt>
                <c:pt idx="9">
                  <c:v>45290</c:v>
                </c:pt>
                <c:pt idx="10">
                  <c:v>45297</c:v>
                </c:pt>
                <c:pt idx="11">
                  <c:v>45304</c:v>
                </c:pt>
                <c:pt idx="12">
                  <c:v>45311</c:v>
                </c:pt>
                <c:pt idx="13">
                  <c:v>45318</c:v>
                </c:pt>
                <c:pt idx="14">
                  <c:v>45325</c:v>
                </c:pt>
                <c:pt idx="15">
                  <c:v>45332</c:v>
                </c:pt>
                <c:pt idx="16">
                  <c:v>45339</c:v>
                </c:pt>
                <c:pt idx="17">
                  <c:v>45346</c:v>
                </c:pt>
                <c:pt idx="18">
                  <c:v>45353</c:v>
                </c:pt>
              </c:numCache>
            </c:numRef>
          </c:cat>
          <c:val>
            <c:numRef>
              <c:f>Summary!$D$64:$V$64</c:f>
              <c:numCache>
                <c:formatCode>"£"#,##0;[Red]\("£"#,###\);"-"</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smooth val="0"/>
          <c:extLst>
            <c:ext xmlns:c16="http://schemas.microsoft.com/office/drawing/2014/chart" uri="{C3380CC4-5D6E-409C-BE32-E72D297353CC}">
              <c16:uniqueId val="{00000001-B3BE-4BA5-ADF9-B461B653AD8A}"/>
            </c:ext>
          </c:extLst>
        </c:ser>
        <c:dLbls>
          <c:showLegendKey val="0"/>
          <c:showVal val="0"/>
          <c:showCatName val="0"/>
          <c:showSerName val="0"/>
          <c:showPercent val="0"/>
          <c:showBubbleSize val="0"/>
        </c:dLbls>
        <c:smooth val="0"/>
        <c:axId val="474883552"/>
        <c:axId val="474887512"/>
      </c:lineChart>
      <c:dateAx>
        <c:axId val="474883552"/>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887512"/>
        <c:crosses val="autoZero"/>
        <c:auto val="1"/>
        <c:lblOffset val="100"/>
        <c:baseTimeUnit val="days"/>
      </c:dateAx>
      <c:valAx>
        <c:axId val="4748875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883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421110</xdr:colOff>
      <xdr:row>63</xdr:row>
      <xdr:rowOff>67176</xdr:rowOff>
    </xdr:from>
    <xdr:to>
      <xdr:col>20</xdr:col>
      <xdr:colOff>50131</xdr:colOff>
      <xdr:row>80</xdr:row>
      <xdr:rowOff>83218</xdr:rowOff>
    </xdr:to>
    <xdr:graphicFrame macro="">
      <xdr:nvGraphicFramePr>
        <xdr:cNvPr id="4" name="Chart 3">
          <a:extLst>
            <a:ext uri="{FF2B5EF4-FFF2-40B4-BE49-F238E27FC236}">
              <a16:creationId xmlns:a16="http://schemas.microsoft.com/office/drawing/2014/main" id="{AB750090-B3E0-436C-B3BA-81361B5F93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93F01E-F21E-4CB2-B6FB-5052045259D1}" name="Table2" displayName="Table2" ref="A1:C23" totalsRowShown="0" headerRowDxfId="13" headerRowCellStyle="Normal 2" dataCellStyle="Normal 2">
  <autoFilter ref="A1:C23" xr:uid="{AD93F01E-F21E-4CB2-B6FB-5052045259D1}"/>
  <tableColumns count="3">
    <tableColumn id="1" xr3:uid="{205BEF50-7B87-439D-89F6-2A50636BD793}" name="Unique ID Match" dataCellStyle="Normal 2"/>
    <tableColumn id="2" xr3:uid="{81AE2417-5C83-493A-ADAD-D156928CEDF1}" name="Category" dataCellStyle="Normal 2"/>
    <tableColumn id="3" xr3:uid="{2F3F7A5E-5BFC-4F8C-BBD5-6191F9CDDB33}" name="Category Check" dataDxfId="15" dataCellStyle="Normal 2">
      <calculatedColumnFormula>INDEX('Forecast 1'!$B$9:$B$56,MATCH(Table2[[#This Row],[Category]],'Forecast 1'!$B$9:$B$56,0))</calculatedColumnFormula>
    </tableColumn>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D38843-588B-416D-A679-48FACB31FF2C}" name="Table3" displayName="Table3" ref="E1:G23" totalsRowShown="0" headerRowDxfId="12" headerRowCellStyle="Normal 2" dataCellStyle="Normal 2">
  <autoFilter ref="E1:G23" xr:uid="{BBD38843-588B-416D-A679-48FACB31FF2C}"/>
  <tableColumns count="3">
    <tableColumn id="1" xr3:uid="{1F51EB5A-BBBB-47A2-B6C1-DC6AEE6BA991}" name="Unique ID Contains" dataCellStyle="Normal 2"/>
    <tableColumn id="2" xr3:uid="{E9084F74-F1C3-4BAC-9FCA-8B400F2BB1BF}" name="Category" dataCellStyle="Normal 2"/>
    <tableColumn id="3" xr3:uid="{E147343F-5325-46E5-9434-4DDA7E7BD4A0}" name="Category Check" dataDxfId="14" dataCellStyle="Normal 2">
      <calculatedColumnFormula>INDEX('Forecast 1'!$B$9:$B$56,MATCH(Table3[[#This Row],[Category]],'Forecast 1'!$B$9:$B$56,0))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thesharpeandsortino.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hesharpeandsortino.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hyperlink" Target="https://thesharpeandsortin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F7F22-1BEC-46FC-9203-46C0E7D14DE6}">
  <dimension ref="A1:V64"/>
  <sheetViews>
    <sheetView showGridLines="0" zoomScale="95" zoomScaleNormal="95"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140625" style="1" customWidth="1"/>
    <col min="2" max="2" width="25.5703125" style="1" customWidth="1"/>
    <col min="3" max="3" width="20.28515625" style="1" customWidth="1"/>
    <col min="4" max="4" width="12.85546875" style="1" customWidth="1"/>
    <col min="5" max="6" width="13.5703125" style="1" bestFit="1" customWidth="1"/>
    <col min="7" max="7" width="13.7109375" style="1" bestFit="1" customWidth="1"/>
    <col min="8" max="8" width="13" style="1" bestFit="1" customWidth="1"/>
    <col min="9" max="9" width="13.7109375" style="1" bestFit="1" customWidth="1"/>
    <col min="10" max="22" width="11.42578125" style="1" bestFit="1" customWidth="1"/>
    <col min="23" max="16384" width="9.140625" style="1"/>
  </cols>
  <sheetData>
    <row r="1" spans="1:22" ht="33" customHeight="1" thickBot="1" x14ac:dyDescent="0.75">
      <c r="A1" s="69"/>
      <c r="B1" s="70" t="s">
        <v>250</v>
      </c>
      <c r="C1" s="69"/>
      <c r="D1" s="69"/>
      <c r="E1" s="69"/>
      <c r="F1" s="69"/>
      <c r="G1" s="69"/>
      <c r="H1" s="69"/>
      <c r="I1" s="69"/>
      <c r="J1" s="69"/>
      <c r="K1" s="69"/>
      <c r="L1" s="69"/>
      <c r="M1" s="69"/>
      <c r="N1" s="69"/>
      <c r="O1" s="69"/>
      <c r="P1" s="69"/>
      <c r="Q1" s="69"/>
      <c r="R1" s="69"/>
      <c r="S1" s="69"/>
      <c r="T1" s="69"/>
      <c r="U1" s="69"/>
      <c r="V1" s="69"/>
    </row>
    <row r="2" spans="1:22" ht="13.5" thickBot="1" x14ac:dyDescent="0.25">
      <c r="A2" s="69"/>
      <c r="B2" s="18" t="s">
        <v>46</v>
      </c>
      <c r="C2" s="18"/>
      <c r="D2" s="19">
        <f>+'Error Checking'!B2</f>
        <v>0</v>
      </c>
    </row>
    <row r="3" spans="1:22" ht="5.25" hidden="1" customHeight="1" x14ac:dyDescent="0.2">
      <c r="A3" s="69"/>
    </row>
    <row r="4" spans="1:22" x14ac:dyDescent="0.2">
      <c r="A4" s="69"/>
      <c r="B4" s="2" t="s">
        <v>0</v>
      </c>
      <c r="C4" s="2"/>
      <c r="D4" s="75" t="s">
        <v>4</v>
      </c>
      <c r="E4" s="75" t="s">
        <v>4</v>
      </c>
      <c r="F4" s="75" t="s">
        <v>4</v>
      </c>
      <c r="G4" s="75" t="s">
        <v>4</v>
      </c>
      <c r="H4" s="75" t="s">
        <v>4</v>
      </c>
      <c r="I4" s="75" t="s">
        <v>4</v>
      </c>
      <c r="J4" s="77" t="s">
        <v>5</v>
      </c>
      <c r="K4" s="77" t="s">
        <v>5</v>
      </c>
      <c r="L4" s="77" t="s">
        <v>5</v>
      </c>
      <c r="M4" s="77" t="s">
        <v>5</v>
      </c>
      <c r="N4" s="77" t="s">
        <v>5</v>
      </c>
      <c r="O4" s="77" t="s">
        <v>5</v>
      </c>
      <c r="P4" s="77" t="s">
        <v>5</v>
      </c>
      <c r="Q4" s="77" t="s">
        <v>5</v>
      </c>
      <c r="R4" s="77" t="s">
        <v>5</v>
      </c>
      <c r="S4" s="77" t="s">
        <v>5</v>
      </c>
      <c r="T4" s="77" t="s">
        <v>5</v>
      </c>
      <c r="U4" s="77" t="s">
        <v>5</v>
      </c>
      <c r="V4" s="77" t="s">
        <v>5</v>
      </c>
    </row>
    <row r="5" spans="1:22" x14ac:dyDescent="0.2">
      <c r="A5" s="69"/>
      <c r="B5" s="2" t="s">
        <v>1</v>
      </c>
      <c r="C5" s="2"/>
      <c r="D5" s="42">
        <v>1</v>
      </c>
      <c r="E5" s="3">
        <v>2</v>
      </c>
      <c r="F5" s="3">
        <v>3</v>
      </c>
      <c r="G5" s="3">
        <v>4</v>
      </c>
      <c r="H5" s="3">
        <v>5</v>
      </c>
      <c r="I5" s="3">
        <v>6</v>
      </c>
      <c r="J5" s="3">
        <v>7</v>
      </c>
      <c r="K5" s="3">
        <v>8</v>
      </c>
      <c r="L5" s="3">
        <v>9</v>
      </c>
      <c r="M5" s="3">
        <v>10</v>
      </c>
      <c r="N5" s="3">
        <v>11</v>
      </c>
      <c r="O5" s="3">
        <v>12</v>
      </c>
      <c r="P5" s="3">
        <v>13</v>
      </c>
      <c r="Q5" s="3">
        <v>14</v>
      </c>
      <c r="R5" s="3">
        <v>15</v>
      </c>
      <c r="S5" s="3">
        <v>16</v>
      </c>
      <c r="T5" s="3">
        <v>17</v>
      </c>
      <c r="U5" s="3">
        <v>18</v>
      </c>
      <c r="V5" s="3">
        <v>19</v>
      </c>
    </row>
    <row r="6" spans="1:22" x14ac:dyDescent="0.2">
      <c r="A6" s="69"/>
      <c r="B6" s="2" t="s">
        <v>2</v>
      </c>
      <c r="C6" s="2"/>
      <c r="D6" s="4">
        <f t="shared" ref="D6:T6" si="0">+D7-6</f>
        <v>45221</v>
      </c>
      <c r="E6" s="4">
        <f t="shared" si="0"/>
        <v>45228</v>
      </c>
      <c r="F6" s="4">
        <f t="shared" si="0"/>
        <v>45235</v>
      </c>
      <c r="G6" s="4">
        <f t="shared" si="0"/>
        <v>45242</v>
      </c>
      <c r="H6" s="4">
        <f t="shared" si="0"/>
        <v>45249</v>
      </c>
      <c r="I6" s="4">
        <f t="shared" si="0"/>
        <v>45256</v>
      </c>
      <c r="J6" s="4">
        <f t="shared" si="0"/>
        <v>45263</v>
      </c>
      <c r="K6" s="4">
        <f t="shared" si="0"/>
        <v>45270</v>
      </c>
      <c r="L6" s="4">
        <f t="shared" si="0"/>
        <v>45277</v>
      </c>
      <c r="M6" s="4">
        <f t="shared" si="0"/>
        <v>45284</v>
      </c>
      <c r="N6" s="4">
        <f t="shared" si="0"/>
        <v>45291</v>
      </c>
      <c r="O6" s="4">
        <f t="shared" si="0"/>
        <v>45298</v>
      </c>
      <c r="P6" s="4">
        <f t="shared" si="0"/>
        <v>45305</v>
      </c>
      <c r="Q6" s="4">
        <f t="shared" si="0"/>
        <v>45312</v>
      </c>
      <c r="R6" s="4">
        <f t="shared" si="0"/>
        <v>45319</v>
      </c>
      <c r="S6" s="4">
        <f t="shared" si="0"/>
        <v>45326</v>
      </c>
      <c r="T6" s="4">
        <f t="shared" si="0"/>
        <v>45333</v>
      </c>
      <c r="U6" s="4">
        <f>+U7-6</f>
        <v>45340</v>
      </c>
      <c r="V6" s="4">
        <f>+V7-6</f>
        <v>45347</v>
      </c>
    </row>
    <row r="7" spans="1:22" x14ac:dyDescent="0.2">
      <c r="A7" s="69"/>
      <c r="B7" s="5" t="s">
        <v>3</v>
      </c>
      <c r="C7" s="5"/>
      <c r="D7" s="6">
        <f t="shared" ref="D7:U7" si="1">+E6-1</f>
        <v>45227</v>
      </c>
      <c r="E7" s="6">
        <f t="shared" si="1"/>
        <v>45234</v>
      </c>
      <c r="F7" s="6">
        <f t="shared" si="1"/>
        <v>45241</v>
      </c>
      <c r="G7" s="6">
        <f t="shared" si="1"/>
        <v>45248</v>
      </c>
      <c r="H7" s="6">
        <f t="shared" si="1"/>
        <v>45255</v>
      </c>
      <c r="I7" s="6">
        <f t="shared" si="1"/>
        <v>45262</v>
      </c>
      <c r="J7" s="6">
        <f t="shared" si="1"/>
        <v>45269</v>
      </c>
      <c r="K7" s="6">
        <f t="shared" si="1"/>
        <v>45276</v>
      </c>
      <c r="L7" s="6">
        <f t="shared" si="1"/>
        <v>45283</v>
      </c>
      <c r="M7" s="6">
        <f t="shared" si="1"/>
        <v>45290</v>
      </c>
      <c r="N7" s="6">
        <f t="shared" si="1"/>
        <v>45297</v>
      </c>
      <c r="O7" s="6">
        <f t="shared" si="1"/>
        <v>45304</v>
      </c>
      <c r="P7" s="6">
        <f t="shared" si="1"/>
        <v>45311</v>
      </c>
      <c r="Q7" s="6">
        <f t="shared" si="1"/>
        <v>45318</v>
      </c>
      <c r="R7" s="6">
        <f t="shared" si="1"/>
        <v>45325</v>
      </c>
      <c r="S7" s="6">
        <f t="shared" si="1"/>
        <v>45332</v>
      </c>
      <c r="T7" s="6">
        <f t="shared" si="1"/>
        <v>45339</v>
      </c>
      <c r="U7" s="6">
        <f>+V6-1</f>
        <v>45346</v>
      </c>
      <c r="V7" s="64">
        <f>MAX('Forecast 1'!7:7)</f>
        <v>45353</v>
      </c>
    </row>
    <row r="8" spans="1:22" x14ac:dyDescent="0.2">
      <c r="A8" s="69"/>
    </row>
    <row r="9" spans="1:22" x14ac:dyDescent="0.2">
      <c r="A9" s="69"/>
      <c r="B9" s="5" t="s">
        <v>6</v>
      </c>
      <c r="C9" s="5"/>
      <c r="D9" s="5"/>
      <c r="E9" s="5"/>
      <c r="F9" s="5"/>
      <c r="G9" s="5"/>
      <c r="H9" s="5"/>
      <c r="I9" s="5"/>
      <c r="J9" s="5"/>
      <c r="K9" s="5"/>
      <c r="L9" s="5"/>
      <c r="M9" s="5"/>
      <c r="N9" s="5"/>
      <c r="O9" s="5"/>
      <c r="P9" s="5"/>
      <c r="Q9" s="5"/>
      <c r="R9" s="5"/>
      <c r="S9" s="5"/>
      <c r="T9" s="5"/>
      <c r="U9" s="5"/>
      <c r="V9" s="5"/>
    </row>
    <row r="10" spans="1:22" x14ac:dyDescent="0.2">
      <c r="A10" s="69"/>
      <c r="B10" s="1" t="s">
        <v>85</v>
      </c>
      <c r="D10" s="65">
        <f>IF($B10='Forecast 1'!$B10,INDEX('Forecast 1'!$1:$1048576,MATCH('Forecast 1'!$B10,'Forecast 1'!$B:$B,0),MATCH('Forecast 1'!D$7,'Forecast 1'!$7:$7,0)),"Mismatch")</f>
        <v>345580</v>
      </c>
      <c r="E10" s="31">
        <f>+D12</f>
        <v>210210</v>
      </c>
      <c r="F10" s="31">
        <f t="shared" ref="F10:V10" si="2">+E12</f>
        <v>174090</v>
      </c>
      <c r="G10" s="31">
        <f t="shared" si="2"/>
        <v>239110</v>
      </c>
      <c r="H10" s="31">
        <f t="shared" si="2"/>
        <v>43360</v>
      </c>
      <c r="I10" s="31">
        <f t="shared" si="2"/>
        <v>325260</v>
      </c>
      <c r="J10" s="31">
        <f t="shared" si="2"/>
        <v>215160</v>
      </c>
      <c r="K10" s="31">
        <f t="shared" si="2"/>
        <v>112041.66666666667</v>
      </c>
      <c r="L10" s="31">
        <f t="shared" si="2"/>
        <v>156995.27777777778</v>
      </c>
      <c r="M10" s="31">
        <f t="shared" si="2"/>
        <v>399451.15740740742</v>
      </c>
      <c r="N10" s="31">
        <f t="shared" si="2"/>
        <v>415303.01697530865</v>
      </c>
      <c r="O10" s="31">
        <f t="shared" si="2"/>
        <v>382731.85313786007</v>
      </c>
      <c r="P10" s="31">
        <f t="shared" si="2"/>
        <v>316373.82866083673</v>
      </c>
      <c r="Q10" s="31">
        <f t="shared" si="2"/>
        <v>519442.80010430957</v>
      </c>
      <c r="R10" s="31">
        <f t="shared" si="2"/>
        <v>532142.98901058338</v>
      </c>
      <c r="S10" s="31">
        <f t="shared" si="2"/>
        <v>472334.27421605098</v>
      </c>
      <c r="T10" s="31">
        <f t="shared" si="2"/>
        <v>279031.46035082493</v>
      </c>
      <c r="U10" s="31">
        <f t="shared" si="2"/>
        <v>412252.86758007761</v>
      </c>
      <c r="V10" s="31">
        <f t="shared" si="2"/>
        <v>580273.03665378049</v>
      </c>
    </row>
    <row r="11" spans="1:22" x14ac:dyDescent="0.2">
      <c r="A11" s="69"/>
      <c r="B11" s="1" t="s">
        <v>7</v>
      </c>
      <c r="D11" s="32">
        <f>+D60</f>
        <v>-135370</v>
      </c>
      <c r="E11" s="32">
        <f t="shared" ref="E11:I11" si="3">+E60</f>
        <v>-36120</v>
      </c>
      <c r="F11" s="32">
        <f t="shared" si="3"/>
        <v>65020</v>
      </c>
      <c r="G11" s="32">
        <f t="shared" si="3"/>
        <v>-195750</v>
      </c>
      <c r="H11" s="32">
        <f t="shared" si="3"/>
        <v>281900</v>
      </c>
      <c r="I11" s="32">
        <f t="shared" si="3"/>
        <v>-110100</v>
      </c>
      <c r="J11" s="32">
        <f>+J60</f>
        <v>-103118.33333333333</v>
      </c>
      <c r="K11" s="32">
        <f t="shared" ref="K11:V11" si="4">+K60</f>
        <v>44953.611111111117</v>
      </c>
      <c r="L11" s="32">
        <f t="shared" si="4"/>
        <v>242455.87962962964</v>
      </c>
      <c r="M11" s="32">
        <f t="shared" si="4"/>
        <v>15851.859567901229</v>
      </c>
      <c r="N11" s="32">
        <f t="shared" si="4"/>
        <v>-32571.163837448566</v>
      </c>
      <c r="O11" s="32">
        <f t="shared" si="4"/>
        <v>-66358.024477023326</v>
      </c>
      <c r="P11" s="32">
        <f t="shared" si="4"/>
        <v>203068.97144347281</v>
      </c>
      <c r="Q11" s="32">
        <f t="shared" si="4"/>
        <v>12700.188906273816</v>
      </c>
      <c r="R11" s="32">
        <f t="shared" si="4"/>
        <v>-59808.714794532381</v>
      </c>
      <c r="S11" s="32">
        <f t="shared" si="4"/>
        <v>-193302.81386522605</v>
      </c>
      <c r="T11" s="32">
        <f t="shared" si="4"/>
        <v>133221.40722925268</v>
      </c>
      <c r="U11" s="32">
        <f t="shared" si="4"/>
        <v>168020.16907370291</v>
      </c>
      <c r="V11" s="32">
        <f t="shared" si="4"/>
        <v>-289083.46533450938</v>
      </c>
    </row>
    <row r="12" spans="1:22" x14ac:dyDescent="0.2">
      <c r="A12" s="69"/>
      <c r="B12" s="15" t="s">
        <v>8</v>
      </c>
      <c r="C12" s="24"/>
      <c r="D12" s="35">
        <f>SUM(D10:D11)</f>
        <v>210210</v>
      </c>
      <c r="E12" s="35">
        <f t="shared" ref="E12:V12" si="5">SUM(E10:E11)</f>
        <v>174090</v>
      </c>
      <c r="F12" s="35">
        <f t="shared" si="5"/>
        <v>239110</v>
      </c>
      <c r="G12" s="35">
        <f t="shared" si="5"/>
        <v>43360</v>
      </c>
      <c r="H12" s="35">
        <f t="shared" si="5"/>
        <v>325260</v>
      </c>
      <c r="I12" s="35">
        <f t="shared" si="5"/>
        <v>215160</v>
      </c>
      <c r="J12" s="35">
        <f t="shared" si="5"/>
        <v>112041.66666666667</v>
      </c>
      <c r="K12" s="35">
        <f t="shared" si="5"/>
        <v>156995.27777777778</v>
      </c>
      <c r="L12" s="35">
        <f t="shared" si="5"/>
        <v>399451.15740740742</v>
      </c>
      <c r="M12" s="35">
        <f t="shared" si="5"/>
        <v>415303.01697530865</v>
      </c>
      <c r="N12" s="35">
        <f t="shared" si="5"/>
        <v>382731.85313786007</v>
      </c>
      <c r="O12" s="35">
        <f t="shared" si="5"/>
        <v>316373.82866083673</v>
      </c>
      <c r="P12" s="35">
        <f t="shared" si="5"/>
        <v>519442.80010430957</v>
      </c>
      <c r="Q12" s="35">
        <f t="shared" si="5"/>
        <v>532142.98901058338</v>
      </c>
      <c r="R12" s="35">
        <f t="shared" si="5"/>
        <v>472334.27421605098</v>
      </c>
      <c r="S12" s="35">
        <f t="shared" si="5"/>
        <v>279031.46035082493</v>
      </c>
      <c r="T12" s="35">
        <f t="shared" si="5"/>
        <v>412252.86758007761</v>
      </c>
      <c r="U12" s="35">
        <f t="shared" si="5"/>
        <v>580273.03665378049</v>
      </c>
      <c r="V12" s="35">
        <f t="shared" si="5"/>
        <v>291189.57131927111</v>
      </c>
    </row>
    <row r="13" spans="1:22" x14ac:dyDescent="0.2">
      <c r="A13" s="69"/>
      <c r="B13" s="1" t="s">
        <v>154</v>
      </c>
      <c r="D13" s="41">
        <f>IF($B13='Forecast 1'!$B13,INDEX('Forecast 1'!$1:$1048576,MATCH('Forecast 1'!$B13,'Forecast 1'!$B:$B,0),MATCH('Forecast 1'!D$7,'Forecast 1'!$7:$7,0)),"Mismatch")</f>
        <v>210210</v>
      </c>
      <c r="E13" s="41">
        <f>IF($B13='Forecast 1'!$B13,INDEX('Forecast 1'!$1:$1048576,MATCH('Forecast 1'!$B13,'Forecast 1'!$B:$B,0),MATCH('Forecast 1'!E$7,'Forecast 1'!$7:$7,0)),"Mismatch")</f>
        <v>174090</v>
      </c>
      <c r="F13" s="41">
        <f>IF($B13='Forecast 1'!$B13,INDEX('Forecast 1'!$1:$1048576,MATCH('Forecast 1'!$B13,'Forecast 1'!$B:$B,0),MATCH('Forecast 1'!F$7,'Forecast 1'!$7:$7,0)),"Mismatch")</f>
        <v>239110</v>
      </c>
      <c r="G13" s="41">
        <f>IF($B13='Forecast 1'!$B13,INDEX('Forecast 1'!$1:$1048576,MATCH('Forecast 1'!$B13,'Forecast 1'!$B:$B,0),MATCH('Forecast 1'!G$7,'Forecast 1'!$7:$7,0)),"Mismatch")</f>
        <v>43360</v>
      </c>
      <c r="H13" s="41">
        <f>IF($B13='Forecast 1'!$B13,INDEX('Forecast 1'!$1:$1048576,MATCH('Forecast 1'!$B13,'Forecast 1'!$B:$B,0),MATCH('Forecast 1'!H$7,'Forecast 1'!$7:$7,0)),"Mismatch")</f>
        <v>325260</v>
      </c>
      <c r="I13" s="41">
        <f>IF($B13='Forecast 1'!$B13,INDEX('Forecast 1'!$1:$1048576,MATCH('Forecast 1'!$B13,'Forecast 1'!$B:$B,0),MATCH('Forecast 1'!I$7,'Forecast 1'!$7:$7,0)),"Mismatch")</f>
        <v>215160</v>
      </c>
      <c r="J13" s="41">
        <f>IF($B13='Forecast 1'!$B13,INDEX('Forecast 1'!$1:$1048576,MATCH('Forecast 1'!$B13,'Forecast 1'!$B:$B,0),MATCH('Forecast 1'!J$7,'Forecast 1'!$7:$7,0)),"Mismatch")</f>
        <v>0</v>
      </c>
      <c r="K13" s="41">
        <f>IF($B13='Forecast 1'!$B13,INDEX('Forecast 1'!$1:$1048576,MATCH('Forecast 1'!$B13,'Forecast 1'!$B:$B,0),MATCH('Forecast 1'!K$7,'Forecast 1'!$7:$7,0)),"Mismatch")</f>
        <v>0</v>
      </c>
      <c r="L13" s="41">
        <f>IF($B13='Forecast 1'!$B13,INDEX('Forecast 1'!$1:$1048576,MATCH('Forecast 1'!$B13,'Forecast 1'!$B:$B,0),MATCH('Forecast 1'!L$7,'Forecast 1'!$7:$7,0)),"Mismatch")</f>
        <v>0</v>
      </c>
      <c r="M13" s="41">
        <f>IF($B13='Forecast 1'!$B13,INDEX('Forecast 1'!$1:$1048576,MATCH('Forecast 1'!$B13,'Forecast 1'!$B:$B,0),MATCH('Forecast 1'!M$7,'Forecast 1'!$7:$7,0)),"Mismatch")</f>
        <v>0</v>
      </c>
      <c r="N13" s="41">
        <f>IF($B13='Forecast 1'!$B13,INDEX('Forecast 1'!$1:$1048576,MATCH('Forecast 1'!$B13,'Forecast 1'!$B:$B,0),MATCH('Forecast 1'!N$7,'Forecast 1'!$7:$7,0)),"Mismatch")</f>
        <v>0</v>
      </c>
      <c r="O13" s="41">
        <f>IF($B13='Forecast 1'!$B13,INDEX('Forecast 1'!$1:$1048576,MATCH('Forecast 1'!$B13,'Forecast 1'!$B:$B,0),MATCH('Forecast 1'!O$7,'Forecast 1'!$7:$7,0)),"Mismatch")</f>
        <v>0</v>
      </c>
      <c r="P13" s="41">
        <f>IF($B13='Forecast 1'!$B13,INDEX('Forecast 1'!$1:$1048576,MATCH('Forecast 1'!$B13,'Forecast 1'!$B:$B,0),MATCH('Forecast 1'!P$7,'Forecast 1'!$7:$7,0)),"Mismatch")</f>
        <v>0</v>
      </c>
      <c r="Q13" s="41">
        <f>IF($B13='Forecast 1'!$B13,INDEX('Forecast 1'!$1:$1048576,MATCH('Forecast 1'!$B13,'Forecast 1'!$B:$B,0),MATCH('Forecast 1'!Q$7,'Forecast 1'!$7:$7,0)),"Mismatch")</f>
        <v>0</v>
      </c>
      <c r="R13" s="41">
        <f>IF($B13='Forecast 1'!$B13,INDEX('Forecast 1'!$1:$1048576,MATCH('Forecast 1'!$B13,'Forecast 1'!$B:$B,0),MATCH('Forecast 1'!R$7,'Forecast 1'!$7:$7,0)),"Mismatch")</f>
        <v>0</v>
      </c>
      <c r="S13" s="41">
        <f>IF($B13='Forecast 1'!$B13,INDEX('Forecast 1'!$1:$1048576,MATCH('Forecast 1'!$B13,'Forecast 1'!$B:$B,0),MATCH('Forecast 1'!S$7,'Forecast 1'!$7:$7,0)),"Mismatch")</f>
        <v>0</v>
      </c>
      <c r="T13" s="41">
        <f>IF($B13='Forecast 1'!$B13,INDEX('Forecast 1'!$1:$1048576,MATCH('Forecast 1'!$B13,'Forecast 1'!$B:$B,0),MATCH('Forecast 1'!T$7,'Forecast 1'!$7:$7,0)),"Mismatch")</f>
        <v>0</v>
      </c>
      <c r="U13" s="41">
        <f>IF($B13='Forecast 1'!$B13,INDEX('Forecast 1'!$1:$1048576,MATCH('Forecast 1'!$B13,'Forecast 1'!$B:$B,0),MATCH('Forecast 1'!U$7,'Forecast 1'!$7:$7,0)),"Mismatch")</f>
        <v>0</v>
      </c>
      <c r="V13" s="41">
        <f>IF($B13='Forecast 1'!$B13,INDEX('Forecast 1'!$1:$1048576,MATCH('Forecast 1'!$B13,'Forecast 1'!$B:$B,0),MATCH('Forecast 1'!V$7,'Forecast 1'!$7:$7,0)),"Mismatch")</f>
        <v>0</v>
      </c>
    </row>
    <row r="14" spans="1:22" x14ac:dyDescent="0.2">
      <c r="A14" s="69"/>
      <c r="B14" s="1" t="s">
        <v>86</v>
      </c>
      <c r="D14" s="39">
        <f>IF(D4="Forecast",0,D13-D12)</f>
        <v>0</v>
      </c>
      <c r="E14" s="39">
        <f t="shared" ref="E14:V14" si="6">IF(E4="Forecast",0,E13-E12)</f>
        <v>0</v>
      </c>
      <c r="F14" s="39">
        <f t="shared" si="6"/>
        <v>0</v>
      </c>
      <c r="G14" s="39">
        <f t="shared" si="6"/>
        <v>0</v>
      </c>
      <c r="H14" s="39">
        <f t="shared" si="6"/>
        <v>0</v>
      </c>
      <c r="I14" s="39">
        <f t="shared" si="6"/>
        <v>0</v>
      </c>
      <c r="J14" s="39">
        <f t="shared" si="6"/>
        <v>0</v>
      </c>
      <c r="K14" s="39">
        <f t="shared" si="6"/>
        <v>0</v>
      </c>
      <c r="L14" s="39">
        <f t="shared" si="6"/>
        <v>0</v>
      </c>
      <c r="M14" s="39">
        <f t="shared" si="6"/>
        <v>0</v>
      </c>
      <c r="N14" s="39">
        <f t="shared" si="6"/>
        <v>0</v>
      </c>
      <c r="O14" s="39">
        <f t="shared" si="6"/>
        <v>0</v>
      </c>
      <c r="P14" s="39">
        <f t="shared" si="6"/>
        <v>0</v>
      </c>
      <c r="Q14" s="39">
        <f t="shared" si="6"/>
        <v>0</v>
      </c>
      <c r="R14" s="39">
        <f t="shared" si="6"/>
        <v>0</v>
      </c>
      <c r="S14" s="39">
        <f t="shared" si="6"/>
        <v>0</v>
      </c>
      <c r="T14" s="39">
        <f t="shared" si="6"/>
        <v>0</v>
      </c>
      <c r="U14" s="39">
        <f t="shared" si="6"/>
        <v>0</v>
      </c>
      <c r="V14" s="39">
        <f t="shared" si="6"/>
        <v>0</v>
      </c>
    </row>
    <row r="15" spans="1:22" x14ac:dyDescent="0.2">
      <c r="A15" s="69"/>
      <c r="B15" s="1" t="s">
        <v>246</v>
      </c>
      <c r="D15" s="63">
        <f>IF($B15='Forecast 1'!$B15,INDEX('Forecast 1'!$1:$1048576,MATCH('Forecast 1'!$B15,'Forecast 1'!$B:$B,0),MATCH('Forecast 1'!D$7,'Forecast 1'!$7:$7,0)),"Mismatch")</f>
        <v>0</v>
      </c>
      <c r="E15" s="63">
        <f>IF($B15='Forecast 1'!$B15,INDEX('Forecast 1'!$1:$1048576,MATCH('Forecast 1'!$B15,'Forecast 1'!$B:$B,0),MATCH('Forecast 1'!E$7,'Forecast 1'!$7:$7,0)),"Mismatch")</f>
        <v>0</v>
      </c>
      <c r="F15" s="63">
        <f>IF($B15='Forecast 1'!$B15,INDEX('Forecast 1'!$1:$1048576,MATCH('Forecast 1'!$B15,'Forecast 1'!$B:$B,0),MATCH('Forecast 1'!F$7,'Forecast 1'!$7:$7,0)),"Mismatch")</f>
        <v>0</v>
      </c>
      <c r="G15" s="63">
        <f>IF($B15='Forecast 1'!$B15,INDEX('Forecast 1'!$1:$1048576,MATCH('Forecast 1'!$B15,'Forecast 1'!$B:$B,0),MATCH('Forecast 1'!G$7,'Forecast 1'!$7:$7,0)),"Mismatch")</f>
        <v>0</v>
      </c>
      <c r="H15" s="63">
        <f>IF($B15='Forecast 1'!$B15,INDEX('Forecast 1'!$1:$1048576,MATCH('Forecast 1'!$B15,'Forecast 1'!$B:$B,0),MATCH('Forecast 1'!H$7,'Forecast 1'!$7:$7,0)),"Mismatch")</f>
        <v>0</v>
      </c>
      <c r="I15" s="63">
        <f>IF($B15='Forecast 1'!$B15,INDEX('Forecast 1'!$1:$1048576,MATCH('Forecast 1'!$B15,'Forecast 1'!$B:$B,0),MATCH('Forecast 1'!I$7,'Forecast 1'!$7:$7,0)),"Mismatch")</f>
        <v>0</v>
      </c>
      <c r="J15" s="63">
        <f>IF($B15='Forecast 1'!$B15,INDEX('Forecast 1'!$1:$1048576,MATCH('Forecast 1'!$B15,'Forecast 1'!$B:$B,0),MATCH('Forecast 1'!J$7,'Forecast 1'!$7:$7,0)),"Mismatch")</f>
        <v>0</v>
      </c>
      <c r="K15" s="63">
        <f>IF($B15='Forecast 1'!$B15,INDEX('Forecast 1'!$1:$1048576,MATCH('Forecast 1'!$B15,'Forecast 1'!$B:$B,0),MATCH('Forecast 1'!K$7,'Forecast 1'!$7:$7,0)),"Mismatch")</f>
        <v>0</v>
      </c>
      <c r="L15" s="63">
        <f>IF($B15='Forecast 1'!$B15,INDEX('Forecast 1'!$1:$1048576,MATCH('Forecast 1'!$B15,'Forecast 1'!$B:$B,0),MATCH('Forecast 1'!L$7,'Forecast 1'!$7:$7,0)),"Mismatch")</f>
        <v>0</v>
      </c>
      <c r="M15" s="63">
        <f>IF($B15='Forecast 1'!$B15,INDEX('Forecast 1'!$1:$1048576,MATCH('Forecast 1'!$B15,'Forecast 1'!$B:$B,0),MATCH('Forecast 1'!M$7,'Forecast 1'!$7:$7,0)),"Mismatch")</f>
        <v>0</v>
      </c>
      <c r="N15" s="63">
        <f>IF($B15='Forecast 1'!$B15,INDEX('Forecast 1'!$1:$1048576,MATCH('Forecast 1'!$B15,'Forecast 1'!$B:$B,0),MATCH('Forecast 1'!N$7,'Forecast 1'!$7:$7,0)),"Mismatch")</f>
        <v>0</v>
      </c>
      <c r="O15" s="63">
        <f>IF($B15='Forecast 1'!$B15,INDEX('Forecast 1'!$1:$1048576,MATCH('Forecast 1'!$B15,'Forecast 1'!$B:$B,0),MATCH('Forecast 1'!O$7,'Forecast 1'!$7:$7,0)),"Mismatch")</f>
        <v>0</v>
      </c>
      <c r="P15" s="63">
        <f>IF($B15='Forecast 1'!$B15,INDEX('Forecast 1'!$1:$1048576,MATCH('Forecast 1'!$B15,'Forecast 1'!$B:$B,0),MATCH('Forecast 1'!P$7,'Forecast 1'!$7:$7,0)),"Mismatch")</f>
        <v>0</v>
      </c>
      <c r="Q15" s="63">
        <f>IF($B15='Forecast 1'!$B15,INDEX('Forecast 1'!$1:$1048576,MATCH('Forecast 1'!$B15,'Forecast 1'!$B:$B,0),MATCH('Forecast 1'!Q$7,'Forecast 1'!$7:$7,0)),"Mismatch")</f>
        <v>0</v>
      </c>
      <c r="R15" s="63">
        <f>IF($B15='Forecast 1'!$B15,INDEX('Forecast 1'!$1:$1048576,MATCH('Forecast 1'!$B15,'Forecast 1'!$B:$B,0),MATCH('Forecast 1'!R$7,'Forecast 1'!$7:$7,0)),"Mismatch")</f>
        <v>0</v>
      </c>
      <c r="S15" s="63">
        <f>IF($B15='Forecast 1'!$B15,INDEX('Forecast 1'!$1:$1048576,MATCH('Forecast 1'!$B15,'Forecast 1'!$B:$B,0),MATCH('Forecast 1'!S$7,'Forecast 1'!$7:$7,0)),"Mismatch")</f>
        <v>0</v>
      </c>
      <c r="T15" s="63">
        <f>IF($B15='Forecast 1'!$B15,INDEX('Forecast 1'!$1:$1048576,MATCH('Forecast 1'!$B15,'Forecast 1'!$B:$B,0),MATCH('Forecast 1'!T$7,'Forecast 1'!$7:$7,0)),"Mismatch")</f>
        <v>0</v>
      </c>
      <c r="U15" s="63">
        <f>IF($B15='Forecast 1'!$B15,INDEX('Forecast 1'!$1:$1048576,MATCH('Forecast 1'!$B15,'Forecast 1'!$B:$B,0),MATCH('Forecast 1'!U$7,'Forecast 1'!$7:$7,0)),"Mismatch")</f>
        <v>0</v>
      </c>
      <c r="V15" s="63">
        <f>IF($B15='Forecast 1'!$B15,INDEX('Forecast 1'!$1:$1048576,MATCH('Forecast 1'!$B15,'Forecast 1'!$B:$B,0),MATCH('Forecast 1'!V$7,'Forecast 1'!$7:$7,0)),"Mismatch")</f>
        <v>0</v>
      </c>
    </row>
    <row r="16" spans="1:22" x14ac:dyDescent="0.2">
      <c r="A16" s="69"/>
    </row>
    <row r="17" spans="1:22" x14ac:dyDescent="0.2">
      <c r="A17" s="69"/>
      <c r="B17" s="5" t="s">
        <v>50</v>
      </c>
      <c r="C17" s="5"/>
      <c r="D17" s="5"/>
      <c r="E17" s="5"/>
      <c r="F17" s="5"/>
      <c r="G17" s="5"/>
      <c r="H17" s="5"/>
      <c r="I17" s="5"/>
      <c r="J17" s="5"/>
      <c r="K17" s="5"/>
      <c r="L17" s="5"/>
      <c r="M17" s="5"/>
      <c r="N17" s="5"/>
      <c r="O17" s="5"/>
      <c r="P17" s="5"/>
      <c r="Q17" s="5"/>
      <c r="R17" s="5"/>
      <c r="S17" s="5"/>
      <c r="T17" s="5"/>
      <c r="U17" s="5"/>
      <c r="V17" s="5"/>
    </row>
    <row r="18" spans="1:22" x14ac:dyDescent="0.2">
      <c r="A18" s="69"/>
      <c r="B18" s="1" t="s">
        <v>87</v>
      </c>
      <c r="D18" s="63">
        <f>IF($B18='Forecast 1'!$B18,INDEX('Forecast 1'!$1:$1048576,MATCH('Forecast 1'!$B18,'Forecast 1'!$B:$B,0),MATCH('Forecast 1'!D$7,'Forecast 1'!$7:$7,0)),"Mismatch")</f>
        <v>0</v>
      </c>
      <c r="E18" s="63">
        <f>IF($B18='Forecast 1'!$B18,INDEX('Forecast 1'!$1:$1048576,MATCH('Forecast 1'!$B18,'Forecast 1'!$B:$B,0),MATCH('Forecast 1'!E$7,'Forecast 1'!$7:$7,0)),"Mismatch")</f>
        <v>372100</v>
      </c>
      <c r="F18" s="63">
        <f>IF($B18='Forecast 1'!$B18,INDEX('Forecast 1'!$1:$1048576,MATCH('Forecast 1'!$B18,'Forecast 1'!$B:$B,0),MATCH('Forecast 1'!F$7,'Forecast 1'!$7:$7,0)),"Mismatch")</f>
        <v>210150</v>
      </c>
      <c r="G18" s="63">
        <f>IF($B18='Forecast 1'!$B18,INDEX('Forecast 1'!$1:$1048576,MATCH('Forecast 1'!$B18,'Forecast 1'!$B:$B,0),MATCH('Forecast 1'!G$7,'Forecast 1'!$7:$7,0)),"Mismatch")</f>
        <v>0</v>
      </c>
      <c r="H18" s="63">
        <f>IF($B18='Forecast 1'!$B18,INDEX('Forecast 1'!$1:$1048576,MATCH('Forecast 1'!$B18,'Forecast 1'!$B:$B,0),MATCH('Forecast 1'!H$7,'Forecast 1'!$7:$7,0)),"Mismatch")</f>
        <v>361430</v>
      </c>
      <c r="I18" s="63">
        <f>IF($B18='Forecast 1'!$B18,INDEX('Forecast 1'!$1:$1048576,MATCH('Forecast 1'!$B18,'Forecast 1'!$B:$B,0),MATCH('Forecast 1'!I$7,'Forecast 1'!$7:$7,0)),"Mismatch")</f>
        <v>68440</v>
      </c>
      <c r="J18" s="63">
        <f>IF($B18='Forecast 1'!$B18,INDEX('Forecast 1'!$1:$1048576,MATCH('Forecast 1'!$B18,'Forecast 1'!$B:$B,0),MATCH('Forecast 1'!J$7,'Forecast 1'!$7:$7,0)),"Mismatch")</f>
        <v>330000</v>
      </c>
      <c r="K18" s="63">
        <f>IF($B18='Forecast 1'!$B18,INDEX('Forecast 1'!$1:$1048576,MATCH('Forecast 1'!$B18,'Forecast 1'!$B:$B,0),MATCH('Forecast 1'!K$7,'Forecast 1'!$7:$7,0)),"Mismatch")</f>
        <v>120000</v>
      </c>
      <c r="L18" s="63">
        <f>IF($B18='Forecast 1'!$B18,INDEX('Forecast 1'!$1:$1048576,MATCH('Forecast 1'!$B18,'Forecast 1'!$B:$B,0),MATCH('Forecast 1'!L$7,'Forecast 1'!$7:$7,0)),"Mismatch")</f>
        <v>454000</v>
      </c>
      <c r="M18" s="63">
        <f>IF($B18='Forecast 1'!$B18,INDEX('Forecast 1'!$1:$1048576,MATCH('Forecast 1'!$B18,'Forecast 1'!$B:$B,0),MATCH('Forecast 1'!M$7,'Forecast 1'!$7:$7,0)),"Mismatch")</f>
        <v>80000</v>
      </c>
      <c r="N18" s="63">
        <f>IF($B18='Forecast 1'!$B18,INDEX('Forecast 1'!$1:$1048576,MATCH('Forecast 1'!$B18,'Forecast 1'!$B:$B,0),MATCH('Forecast 1'!N$7,'Forecast 1'!$7:$7,0)),"Mismatch")</f>
        <v>100000</v>
      </c>
      <c r="O18" s="63">
        <f>IF($B18='Forecast 1'!$B18,INDEX('Forecast 1'!$1:$1048576,MATCH('Forecast 1'!$B18,'Forecast 1'!$B:$B,0),MATCH('Forecast 1'!O$7,'Forecast 1'!$7:$7,0)),"Mismatch")</f>
        <v>0</v>
      </c>
      <c r="P18" s="63">
        <f>IF($B18='Forecast 1'!$B18,INDEX('Forecast 1'!$1:$1048576,MATCH('Forecast 1'!$B18,'Forecast 1'!$B:$B,0),MATCH('Forecast 1'!P$7,'Forecast 1'!$7:$7,0)),"Mismatch")</f>
        <v>271800</v>
      </c>
      <c r="Q18" s="63">
        <f>IF($B18='Forecast 1'!$B18,INDEX('Forecast 1'!$1:$1048576,MATCH('Forecast 1'!$B18,'Forecast 1'!$B:$B,0),MATCH('Forecast 1'!Q$7,'Forecast 1'!$7:$7,0)),"Mismatch")</f>
        <v>80000</v>
      </c>
      <c r="R18" s="63">
        <f>IF($B18='Forecast 1'!$B18,INDEX('Forecast 1'!$1:$1048576,MATCH('Forecast 1'!$B18,'Forecast 1'!$B:$B,0),MATCH('Forecast 1'!R$7,'Forecast 1'!$7:$7,0)),"Mismatch")</f>
        <v>198000</v>
      </c>
      <c r="S18" s="63">
        <f>IF($B18='Forecast 1'!$B18,INDEX('Forecast 1'!$1:$1048576,MATCH('Forecast 1'!$B18,'Forecast 1'!$B:$B,0),MATCH('Forecast 1'!S$7,'Forecast 1'!$7:$7,0)),"Mismatch")</f>
        <v>0</v>
      </c>
      <c r="T18" s="63">
        <f>IF($B18='Forecast 1'!$B18,INDEX('Forecast 1'!$1:$1048576,MATCH('Forecast 1'!$B18,'Forecast 1'!$B:$B,0),MATCH('Forecast 1'!T$7,'Forecast 1'!$7:$7,0)),"Mismatch")</f>
        <v>250000</v>
      </c>
      <c r="U18" s="63">
        <f>IF($B18='Forecast 1'!$B18,INDEX('Forecast 1'!$1:$1048576,MATCH('Forecast 1'!$B18,'Forecast 1'!$B:$B,0),MATCH('Forecast 1'!U$7,'Forecast 1'!$7:$7,0)),"Mismatch")</f>
        <v>325000</v>
      </c>
      <c r="V18" s="63">
        <f>IF($B18='Forecast 1'!$B18,INDEX('Forecast 1'!$1:$1048576,MATCH('Forecast 1'!$B18,'Forecast 1'!$B:$B,0),MATCH('Forecast 1'!V$7,'Forecast 1'!$7:$7,0)),"Mismatch")</f>
        <v>0</v>
      </c>
    </row>
    <row r="19" spans="1:22" x14ac:dyDescent="0.2">
      <c r="A19" s="69"/>
      <c r="B19" s="1" t="s">
        <v>88</v>
      </c>
      <c r="D19" s="63">
        <f>IF($B19='Forecast 1'!$B19,INDEX('Forecast 1'!$1:$1048576,MATCH('Forecast 1'!$B19,'Forecast 1'!$B:$B,0),MATCH('Forecast 1'!D$7,'Forecast 1'!$7:$7,0)),"Mismatch")</f>
        <v>0</v>
      </c>
      <c r="E19" s="63">
        <f>IF($B19='Forecast 1'!$B19,INDEX('Forecast 1'!$1:$1048576,MATCH('Forecast 1'!$B19,'Forecast 1'!$B:$B,0),MATCH('Forecast 1'!E$7,'Forecast 1'!$7:$7,0)),"Mismatch")</f>
        <v>0</v>
      </c>
      <c r="F19" s="63">
        <f>IF($B19='Forecast 1'!$B19,INDEX('Forecast 1'!$1:$1048576,MATCH('Forecast 1'!$B19,'Forecast 1'!$B:$B,0),MATCH('Forecast 1'!F$7,'Forecast 1'!$7:$7,0)),"Mismatch")</f>
        <v>0</v>
      </c>
      <c r="G19" s="63">
        <f>IF($B19='Forecast 1'!$B19,INDEX('Forecast 1'!$1:$1048576,MATCH('Forecast 1'!$B19,'Forecast 1'!$B:$B,0),MATCH('Forecast 1'!G$7,'Forecast 1'!$7:$7,0)),"Mismatch")</f>
        <v>0</v>
      </c>
      <c r="H19" s="63">
        <f>IF($B19='Forecast 1'!$B19,INDEX('Forecast 1'!$1:$1048576,MATCH('Forecast 1'!$B19,'Forecast 1'!$B:$B,0),MATCH('Forecast 1'!H$7,'Forecast 1'!$7:$7,0)),"Mismatch")</f>
        <v>0</v>
      </c>
      <c r="I19" s="63">
        <f>IF($B19='Forecast 1'!$B19,INDEX('Forecast 1'!$1:$1048576,MATCH('Forecast 1'!$B19,'Forecast 1'!$B:$B,0),MATCH('Forecast 1'!I$7,'Forecast 1'!$7:$7,0)),"Mismatch")</f>
        <v>0</v>
      </c>
      <c r="J19" s="63">
        <f>IF($B19='Forecast 1'!$B19,INDEX('Forecast 1'!$1:$1048576,MATCH('Forecast 1'!$B19,'Forecast 1'!$B:$B,0),MATCH('Forecast 1'!J$7,'Forecast 1'!$7:$7,0)),"Mismatch")</f>
        <v>0</v>
      </c>
      <c r="K19" s="63">
        <f>IF($B19='Forecast 1'!$B19,INDEX('Forecast 1'!$1:$1048576,MATCH('Forecast 1'!$B19,'Forecast 1'!$B:$B,0),MATCH('Forecast 1'!K$7,'Forecast 1'!$7:$7,0)),"Mismatch")</f>
        <v>0</v>
      </c>
      <c r="L19" s="63">
        <f>IF($B19='Forecast 1'!$B19,INDEX('Forecast 1'!$1:$1048576,MATCH('Forecast 1'!$B19,'Forecast 1'!$B:$B,0),MATCH('Forecast 1'!L$7,'Forecast 1'!$7:$7,0)),"Mismatch")</f>
        <v>0</v>
      </c>
      <c r="M19" s="63">
        <f>IF($B19='Forecast 1'!$B19,INDEX('Forecast 1'!$1:$1048576,MATCH('Forecast 1'!$B19,'Forecast 1'!$B:$B,0),MATCH('Forecast 1'!M$7,'Forecast 1'!$7:$7,0)),"Mismatch")</f>
        <v>0</v>
      </c>
      <c r="N19" s="63">
        <f>IF($B19='Forecast 1'!$B19,INDEX('Forecast 1'!$1:$1048576,MATCH('Forecast 1'!$B19,'Forecast 1'!$B:$B,0),MATCH('Forecast 1'!N$7,'Forecast 1'!$7:$7,0)),"Mismatch")</f>
        <v>0</v>
      </c>
      <c r="O19" s="63">
        <f>IF($B19='Forecast 1'!$B19,INDEX('Forecast 1'!$1:$1048576,MATCH('Forecast 1'!$B19,'Forecast 1'!$B:$B,0),MATCH('Forecast 1'!O$7,'Forecast 1'!$7:$7,0)),"Mismatch")</f>
        <v>0</v>
      </c>
      <c r="P19" s="63">
        <f>IF($B19='Forecast 1'!$B19,INDEX('Forecast 1'!$1:$1048576,MATCH('Forecast 1'!$B19,'Forecast 1'!$B:$B,0),MATCH('Forecast 1'!P$7,'Forecast 1'!$7:$7,0)),"Mismatch")</f>
        <v>0</v>
      </c>
      <c r="Q19" s="63">
        <f>IF($B19='Forecast 1'!$B19,INDEX('Forecast 1'!$1:$1048576,MATCH('Forecast 1'!$B19,'Forecast 1'!$B:$B,0),MATCH('Forecast 1'!Q$7,'Forecast 1'!$7:$7,0)),"Mismatch")</f>
        <v>0</v>
      </c>
      <c r="R19" s="63">
        <f>IF($B19='Forecast 1'!$B19,INDEX('Forecast 1'!$1:$1048576,MATCH('Forecast 1'!$B19,'Forecast 1'!$B:$B,0),MATCH('Forecast 1'!R$7,'Forecast 1'!$7:$7,0)),"Mismatch")</f>
        <v>0</v>
      </c>
      <c r="S19" s="63">
        <f>IF($B19='Forecast 1'!$B19,INDEX('Forecast 1'!$1:$1048576,MATCH('Forecast 1'!$B19,'Forecast 1'!$B:$B,0),MATCH('Forecast 1'!S$7,'Forecast 1'!$7:$7,0)),"Mismatch")</f>
        <v>0</v>
      </c>
      <c r="T19" s="63">
        <f>IF($B19='Forecast 1'!$B19,INDEX('Forecast 1'!$1:$1048576,MATCH('Forecast 1'!$B19,'Forecast 1'!$B:$B,0),MATCH('Forecast 1'!T$7,'Forecast 1'!$7:$7,0)),"Mismatch")</f>
        <v>0</v>
      </c>
      <c r="U19" s="63">
        <f>IF($B19='Forecast 1'!$B19,INDEX('Forecast 1'!$1:$1048576,MATCH('Forecast 1'!$B19,'Forecast 1'!$B:$B,0),MATCH('Forecast 1'!U$7,'Forecast 1'!$7:$7,0)),"Mismatch")</f>
        <v>0</v>
      </c>
      <c r="V19" s="63">
        <f>IF($B19='Forecast 1'!$B19,INDEX('Forecast 1'!$1:$1048576,MATCH('Forecast 1'!$B19,'Forecast 1'!$B:$B,0),MATCH('Forecast 1'!V$7,'Forecast 1'!$7:$7,0)),"Mismatch")</f>
        <v>0</v>
      </c>
    </row>
    <row r="20" spans="1:22" x14ac:dyDescent="0.2">
      <c r="A20" s="69"/>
      <c r="D20" s="32"/>
      <c r="E20" s="32"/>
      <c r="F20" s="32"/>
      <c r="G20" s="32"/>
      <c r="H20" s="32"/>
      <c r="I20" s="32"/>
      <c r="J20" s="32"/>
      <c r="K20" s="32"/>
      <c r="L20" s="32"/>
      <c r="M20" s="32"/>
      <c r="N20" s="32"/>
      <c r="O20" s="32"/>
      <c r="P20" s="32"/>
      <c r="Q20" s="32"/>
      <c r="R20" s="32"/>
      <c r="S20" s="32"/>
      <c r="T20" s="32"/>
      <c r="U20" s="32"/>
      <c r="V20" s="32"/>
    </row>
    <row r="21" spans="1:22" x14ac:dyDescent="0.2">
      <c r="A21" s="69"/>
      <c r="B21" s="20" t="s">
        <v>48</v>
      </c>
      <c r="C21" s="20"/>
      <c r="D21" s="37">
        <f>SUM(D18:D20)</f>
        <v>0</v>
      </c>
      <c r="E21" s="37">
        <f>SUM(E18:E20)</f>
        <v>372100</v>
      </c>
      <c r="F21" s="37">
        <f t="shared" ref="F21:V21" si="7">SUM(F18:F20)</f>
        <v>210150</v>
      </c>
      <c r="G21" s="37">
        <f t="shared" si="7"/>
        <v>0</v>
      </c>
      <c r="H21" s="37">
        <f t="shared" si="7"/>
        <v>361430</v>
      </c>
      <c r="I21" s="37">
        <f t="shared" si="7"/>
        <v>68440</v>
      </c>
      <c r="J21" s="37">
        <f t="shared" si="7"/>
        <v>330000</v>
      </c>
      <c r="K21" s="37">
        <f t="shared" si="7"/>
        <v>120000</v>
      </c>
      <c r="L21" s="37">
        <f t="shared" si="7"/>
        <v>454000</v>
      </c>
      <c r="M21" s="37">
        <f t="shared" si="7"/>
        <v>80000</v>
      </c>
      <c r="N21" s="37">
        <f t="shared" si="7"/>
        <v>100000</v>
      </c>
      <c r="O21" s="37">
        <f t="shared" si="7"/>
        <v>0</v>
      </c>
      <c r="P21" s="37">
        <f t="shared" si="7"/>
        <v>271800</v>
      </c>
      <c r="Q21" s="37">
        <f t="shared" si="7"/>
        <v>80000</v>
      </c>
      <c r="R21" s="37">
        <f t="shared" si="7"/>
        <v>198000</v>
      </c>
      <c r="S21" s="37">
        <f t="shared" si="7"/>
        <v>0</v>
      </c>
      <c r="T21" s="37">
        <f t="shared" si="7"/>
        <v>250000</v>
      </c>
      <c r="U21" s="37">
        <f t="shared" si="7"/>
        <v>325000</v>
      </c>
      <c r="V21" s="37">
        <f t="shared" si="7"/>
        <v>0</v>
      </c>
    </row>
    <row r="22" spans="1:22" x14ac:dyDescent="0.2">
      <c r="A22" s="69"/>
    </row>
    <row r="23" spans="1:22" x14ac:dyDescent="0.2">
      <c r="A23" s="69"/>
      <c r="B23" s="5" t="s">
        <v>49</v>
      </c>
      <c r="C23" s="5"/>
      <c r="D23" s="5"/>
      <c r="E23" s="5"/>
      <c r="F23" s="5"/>
      <c r="G23" s="5"/>
      <c r="H23" s="5"/>
      <c r="I23" s="5"/>
      <c r="J23" s="5"/>
      <c r="K23" s="5"/>
      <c r="L23" s="5"/>
      <c r="M23" s="5"/>
      <c r="N23" s="5"/>
      <c r="O23" s="5"/>
      <c r="P23" s="5"/>
      <c r="Q23" s="5"/>
      <c r="R23" s="5"/>
      <c r="S23" s="5"/>
      <c r="T23" s="5"/>
      <c r="U23" s="5"/>
      <c r="V23" s="5"/>
    </row>
    <row r="24" spans="1:22" x14ac:dyDescent="0.2">
      <c r="A24" s="69"/>
      <c r="B24" s="23" t="s">
        <v>51</v>
      </c>
      <c r="C24" s="23"/>
      <c r="D24" s="63">
        <f>IF($B24='Forecast 1'!$B24,INDEX('Forecast 1'!$1:$1048576,MATCH('Forecast 1'!$B24,'Forecast 1'!$B:$B,0),MATCH('Forecast 1'!D$7,'Forecast 1'!$7:$7,0)),"Mismatch")</f>
        <v>-33620</v>
      </c>
      <c r="E24" s="63">
        <f>IF($B24='Forecast 1'!$B24,INDEX('Forecast 1'!$1:$1048576,MATCH('Forecast 1'!$B24,'Forecast 1'!$B:$B,0),MATCH('Forecast 1'!E$7,'Forecast 1'!$7:$7,0)),"Mismatch")</f>
        <v>-83210</v>
      </c>
      <c r="F24" s="63">
        <f>IF($B24='Forecast 1'!$B24,INDEX('Forecast 1'!$1:$1048576,MATCH('Forecast 1'!$B24,'Forecast 1'!$B:$B,0),MATCH('Forecast 1'!F$7,'Forecast 1'!$7:$7,0)),"Mismatch")</f>
        <v>-69810</v>
      </c>
      <c r="G24" s="63">
        <f>IF($B24='Forecast 1'!$B24,INDEX('Forecast 1'!$1:$1048576,MATCH('Forecast 1'!$B24,'Forecast 1'!$B:$B,0),MATCH('Forecast 1'!G$7,'Forecast 1'!$7:$7,0)),"Mismatch")</f>
        <v>-40140</v>
      </c>
      <c r="H24" s="63">
        <f>IF($B24='Forecast 1'!$B24,INDEX('Forecast 1'!$1:$1048576,MATCH('Forecast 1'!$B24,'Forecast 1'!$B:$B,0),MATCH('Forecast 1'!H$7,'Forecast 1'!$7:$7,0)),"Mismatch")</f>
        <v>-18680</v>
      </c>
      <c r="I24" s="63">
        <f>IF($B24='Forecast 1'!$B24,INDEX('Forecast 1'!$1:$1048576,MATCH('Forecast 1'!$B24,'Forecast 1'!$B:$B,0),MATCH('Forecast 1'!I$7,'Forecast 1'!$7:$7,0)),"Mismatch")</f>
        <v>-88580</v>
      </c>
      <c r="J24" s="63">
        <f>IF($B24='Forecast 1'!$B24,INDEX('Forecast 1'!$1:$1048576,MATCH('Forecast 1'!$B24,'Forecast 1'!$B:$B,0),MATCH('Forecast 1'!J$7,'Forecast 1'!$7:$7,0)),"Mismatch")</f>
        <v>-800</v>
      </c>
      <c r="K24" s="63">
        <f>IF($B24='Forecast 1'!$B24,INDEX('Forecast 1'!$1:$1048576,MATCH('Forecast 1'!$B24,'Forecast 1'!$B:$B,0),MATCH('Forecast 1'!K$7,'Forecast 1'!$7:$7,0)),"Mismatch")</f>
        <v>-1800</v>
      </c>
      <c r="L24" s="63">
        <f>IF($B24='Forecast 1'!$B24,INDEX('Forecast 1'!$1:$1048576,MATCH('Forecast 1'!$B24,'Forecast 1'!$B:$B,0),MATCH('Forecast 1'!L$7,'Forecast 1'!$7:$7,0)),"Mismatch")</f>
        <v>-145800</v>
      </c>
      <c r="M24" s="63">
        <f>IF($B24='Forecast 1'!$B24,INDEX('Forecast 1'!$1:$1048576,MATCH('Forecast 1'!$B24,'Forecast 1'!$B:$B,0),MATCH('Forecast 1'!M$7,'Forecast 1'!$7:$7,0)),"Mismatch")</f>
        <v>0</v>
      </c>
      <c r="N24" s="63">
        <f>IF($B24='Forecast 1'!$B24,INDEX('Forecast 1'!$1:$1048576,MATCH('Forecast 1'!$B24,'Forecast 1'!$B:$B,0),MATCH('Forecast 1'!N$7,'Forecast 1'!$7:$7,0)),"Mismatch")</f>
        <v>0</v>
      </c>
      <c r="O24" s="63">
        <f>IF($B24='Forecast 1'!$B24,INDEX('Forecast 1'!$1:$1048576,MATCH('Forecast 1'!$B24,'Forecast 1'!$B:$B,0),MATCH('Forecast 1'!O$7,'Forecast 1'!$7:$7,0)),"Mismatch")</f>
        <v>0</v>
      </c>
      <c r="P24" s="63">
        <f>IF($B24='Forecast 1'!$B24,INDEX('Forecast 1'!$1:$1048576,MATCH('Forecast 1'!$B24,'Forecast 1'!$B:$B,0),MATCH('Forecast 1'!P$7,'Forecast 1'!$7:$7,0)),"Mismatch")</f>
        <v>0</v>
      </c>
      <c r="Q24" s="63">
        <f>IF($B24='Forecast 1'!$B24,INDEX('Forecast 1'!$1:$1048576,MATCH('Forecast 1'!$B24,'Forecast 1'!$B:$B,0),MATCH('Forecast 1'!Q$7,'Forecast 1'!$7:$7,0)),"Mismatch")</f>
        <v>0</v>
      </c>
      <c r="R24" s="63">
        <f>IF($B24='Forecast 1'!$B24,INDEX('Forecast 1'!$1:$1048576,MATCH('Forecast 1'!$B24,'Forecast 1'!$B:$B,0),MATCH('Forecast 1'!R$7,'Forecast 1'!$7:$7,0)),"Mismatch")</f>
        <v>0</v>
      </c>
      <c r="S24" s="63">
        <f>IF($B24='Forecast 1'!$B24,INDEX('Forecast 1'!$1:$1048576,MATCH('Forecast 1'!$B24,'Forecast 1'!$B:$B,0),MATCH('Forecast 1'!S$7,'Forecast 1'!$7:$7,0)),"Mismatch")</f>
        <v>-126900</v>
      </c>
      <c r="T24" s="63">
        <f>IF($B24='Forecast 1'!$B24,INDEX('Forecast 1'!$1:$1048576,MATCH('Forecast 1'!$B24,'Forecast 1'!$B:$B,0),MATCH('Forecast 1'!T$7,'Forecast 1'!$7:$7,0)),"Mismatch")</f>
        <v>-50000</v>
      </c>
      <c r="U24" s="63">
        <f>IF($B24='Forecast 1'!$B24,INDEX('Forecast 1'!$1:$1048576,MATCH('Forecast 1'!$B24,'Forecast 1'!$B:$B,0),MATCH('Forecast 1'!U$7,'Forecast 1'!$7:$7,0)),"Mismatch")</f>
        <v>-90000</v>
      </c>
      <c r="V24" s="63">
        <f>IF($B24='Forecast 1'!$B24,INDEX('Forecast 1'!$1:$1048576,MATCH('Forecast 1'!$B24,'Forecast 1'!$B:$B,0),MATCH('Forecast 1'!V$7,'Forecast 1'!$7:$7,0)),"Mismatch")</f>
        <v>0</v>
      </c>
    </row>
    <row r="25" spans="1:22" x14ac:dyDescent="0.2">
      <c r="A25" s="69"/>
      <c r="B25" s="23" t="s">
        <v>52</v>
      </c>
      <c r="C25" s="23"/>
      <c r="D25" s="63">
        <f>IF($B25='Forecast 1'!$B25,INDEX('Forecast 1'!$1:$1048576,MATCH('Forecast 1'!$B25,'Forecast 1'!$B:$B,0),MATCH('Forecast 1'!D$7,'Forecast 1'!$7:$7,0)),"Mismatch")</f>
        <v>0</v>
      </c>
      <c r="E25" s="63">
        <f>IF($B25='Forecast 1'!$B25,INDEX('Forecast 1'!$1:$1048576,MATCH('Forecast 1'!$B25,'Forecast 1'!$B:$B,0),MATCH('Forecast 1'!E$7,'Forecast 1'!$7:$7,0)),"Mismatch")</f>
        <v>-194090</v>
      </c>
      <c r="F25" s="63">
        <f>IF($B25='Forecast 1'!$B25,INDEX('Forecast 1'!$1:$1048576,MATCH('Forecast 1'!$B25,'Forecast 1'!$B:$B,0),MATCH('Forecast 1'!F$7,'Forecast 1'!$7:$7,0)),"Mismatch")</f>
        <v>0</v>
      </c>
      <c r="G25" s="63">
        <f>IF($B25='Forecast 1'!$B25,INDEX('Forecast 1'!$1:$1048576,MATCH('Forecast 1'!$B25,'Forecast 1'!$B:$B,0),MATCH('Forecast 1'!G$7,'Forecast 1'!$7:$7,0)),"Mismatch")</f>
        <v>-100000</v>
      </c>
      <c r="H25" s="63">
        <f>IF($B25='Forecast 1'!$B25,INDEX('Forecast 1'!$1:$1048576,MATCH('Forecast 1'!$B25,'Forecast 1'!$B:$B,0),MATCH('Forecast 1'!H$7,'Forecast 1'!$7:$7,0)),"Mismatch")</f>
        <v>0</v>
      </c>
      <c r="I25" s="63">
        <f>IF($B25='Forecast 1'!$B25,INDEX('Forecast 1'!$1:$1048576,MATCH('Forecast 1'!$B25,'Forecast 1'!$B:$B,0),MATCH('Forecast 1'!I$7,'Forecast 1'!$7:$7,0)),"Mismatch")</f>
        <v>-32000</v>
      </c>
      <c r="J25" s="63">
        <f>IF($B25='Forecast 1'!$B25,INDEX('Forecast 1'!$1:$1048576,MATCH('Forecast 1'!$B25,'Forecast 1'!$B:$B,0),MATCH('Forecast 1'!J$7,'Forecast 1'!$7:$7,0)),"Mismatch")</f>
        <v>-350000</v>
      </c>
      <c r="K25" s="63">
        <f>IF($B25='Forecast 1'!$B25,INDEX('Forecast 1'!$1:$1048576,MATCH('Forecast 1'!$B25,'Forecast 1'!$B:$B,0),MATCH('Forecast 1'!K$7,'Forecast 1'!$7:$7,0)),"Mismatch")</f>
        <v>0</v>
      </c>
      <c r="L25" s="63">
        <f>IF($B25='Forecast 1'!$B25,INDEX('Forecast 1'!$1:$1048576,MATCH('Forecast 1'!$B25,'Forecast 1'!$B:$B,0),MATCH('Forecast 1'!L$7,'Forecast 1'!$7:$7,0)),"Mismatch")</f>
        <v>0</v>
      </c>
      <c r="M25" s="63">
        <f>IF($B25='Forecast 1'!$B25,INDEX('Forecast 1'!$1:$1048576,MATCH('Forecast 1'!$B25,'Forecast 1'!$B:$B,0),MATCH('Forecast 1'!M$7,'Forecast 1'!$7:$7,0)),"Mismatch")</f>
        <v>0</v>
      </c>
      <c r="N25" s="63">
        <f>IF($B25='Forecast 1'!$B25,INDEX('Forecast 1'!$1:$1048576,MATCH('Forecast 1'!$B25,'Forecast 1'!$B:$B,0),MATCH('Forecast 1'!N$7,'Forecast 1'!$7:$7,0)),"Mismatch")</f>
        <v>-55000</v>
      </c>
      <c r="O25" s="63">
        <f>IF($B25='Forecast 1'!$B25,INDEX('Forecast 1'!$1:$1048576,MATCH('Forecast 1'!$B25,'Forecast 1'!$B:$B,0),MATCH('Forecast 1'!O$7,'Forecast 1'!$7:$7,0)),"Mismatch")</f>
        <v>0</v>
      </c>
      <c r="P25" s="63">
        <f>IF($B25='Forecast 1'!$B25,INDEX('Forecast 1'!$1:$1048576,MATCH('Forecast 1'!$B25,'Forecast 1'!$B:$B,0),MATCH('Forecast 1'!P$7,'Forecast 1'!$7:$7,0)),"Mismatch")</f>
        <v>0</v>
      </c>
      <c r="Q25" s="63">
        <f>IF($B25='Forecast 1'!$B25,INDEX('Forecast 1'!$1:$1048576,MATCH('Forecast 1'!$B25,'Forecast 1'!$B:$B,0),MATCH('Forecast 1'!Q$7,'Forecast 1'!$7:$7,0)),"Mismatch")</f>
        <v>0</v>
      </c>
      <c r="R25" s="63">
        <f>IF($B25='Forecast 1'!$B25,INDEX('Forecast 1'!$1:$1048576,MATCH('Forecast 1'!$B25,'Forecast 1'!$B:$B,0),MATCH('Forecast 1'!R$7,'Forecast 1'!$7:$7,0)),"Mismatch")</f>
        <v>-179500</v>
      </c>
      <c r="S25" s="63">
        <f>IF($B25='Forecast 1'!$B25,INDEX('Forecast 1'!$1:$1048576,MATCH('Forecast 1'!$B25,'Forecast 1'!$B:$B,0),MATCH('Forecast 1'!S$7,'Forecast 1'!$7:$7,0)),"Mismatch")</f>
        <v>0</v>
      </c>
      <c r="T25" s="63">
        <f>IF($B25='Forecast 1'!$B25,INDEX('Forecast 1'!$1:$1048576,MATCH('Forecast 1'!$B25,'Forecast 1'!$B:$B,0),MATCH('Forecast 1'!T$7,'Forecast 1'!$7:$7,0)),"Mismatch")</f>
        <v>0</v>
      </c>
      <c r="U25" s="63">
        <f>IF($B25='Forecast 1'!$B25,INDEX('Forecast 1'!$1:$1048576,MATCH('Forecast 1'!$B25,'Forecast 1'!$B:$B,0),MATCH('Forecast 1'!U$7,'Forecast 1'!$7:$7,0)),"Mismatch")</f>
        <v>0</v>
      </c>
      <c r="V25" s="63">
        <f>IF($B25='Forecast 1'!$B25,INDEX('Forecast 1'!$1:$1048576,MATCH('Forecast 1'!$B25,'Forecast 1'!$B:$B,0),MATCH('Forecast 1'!V$7,'Forecast 1'!$7:$7,0)),"Mismatch")</f>
        <v>-210000</v>
      </c>
    </row>
    <row r="26" spans="1:22" x14ac:dyDescent="0.2">
      <c r="A26" s="69"/>
      <c r="B26" s="23" t="s">
        <v>53</v>
      </c>
      <c r="C26" s="22" t="s">
        <v>54</v>
      </c>
      <c r="D26" s="63">
        <f>IF($B26='Forecast 1'!$B26,INDEX('Forecast 1'!$1:$1048576,MATCH('Forecast 1'!$B26,'Forecast 1'!$B:$B,0),MATCH('Forecast 1'!D$7,'Forecast 1'!$7:$7,0)),"Mismatch")</f>
        <v>-77830</v>
      </c>
      <c r="E26" s="63">
        <f>IF($B26='Forecast 1'!$B26,INDEX('Forecast 1'!$1:$1048576,MATCH('Forecast 1'!$B26,'Forecast 1'!$B:$B,0),MATCH('Forecast 1'!E$7,'Forecast 1'!$7:$7,0)),"Mismatch")</f>
        <v>-78050</v>
      </c>
      <c r="F26" s="63">
        <f>IF($B26='Forecast 1'!$B26,INDEX('Forecast 1'!$1:$1048576,MATCH('Forecast 1'!$B26,'Forecast 1'!$B:$B,0),MATCH('Forecast 1'!F$7,'Forecast 1'!$7:$7,0)),"Mismatch")</f>
        <v>-51670</v>
      </c>
      <c r="G26" s="63">
        <f>IF($B26='Forecast 1'!$B26,INDEX('Forecast 1'!$1:$1048576,MATCH('Forecast 1'!$B26,'Forecast 1'!$B:$B,0),MATCH('Forecast 1'!G$7,'Forecast 1'!$7:$7,0)),"Mismatch")</f>
        <v>-39960</v>
      </c>
      <c r="H26" s="63">
        <f>IF($B26='Forecast 1'!$B26,INDEX('Forecast 1'!$1:$1048576,MATCH('Forecast 1'!$B26,'Forecast 1'!$B:$B,0),MATCH('Forecast 1'!H$7,'Forecast 1'!$7:$7,0)),"Mismatch")</f>
        <v>-44380</v>
      </c>
      <c r="I26" s="63">
        <f>IF($B26='Forecast 1'!$B26,INDEX('Forecast 1'!$1:$1048576,MATCH('Forecast 1'!$B26,'Forecast 1'!$B:$B,0),MATCH('Forecast 1'!I$7,'Forecast 1'!$7:$7,0)),"Mismatch")</f>
        <v>-35340</v>
      </c>
      <c r="J26" s="63">
        <f>IF($B26='Forecast 1'!$B26,INDEX('Forecast 1'!$1:$1048576,MATCH('Forecast 1'!$B26,'Forecast 1'!$B:$B,0),MATCH('Forecast 1'!J$7,'Forecast 1'!$7:$7,0)),"Mismatch")</f>
        <v>-54538.333333333336</v>
      </c>
      <c r="K26" s="63">
        <f>IF($B26='Forecast 1'!$B26,INDEX('Forecast 1'!$1:$1048576,MATCH('Forecast 1'!$B26,'Forecast 1'!$B:$B,0),MATCH('Forecast 1'!K$7,'Forecast 1'!$7:$7,0)),"Mismatch")</f>
        <v>-50656.388888888883</v>
      </c>
      <c r="L26" s="63">
        <f>IF($B26='Forecast 1'!$B26,INDEX('Forecast 1'!$1:$1048576,MATCH('Forecast 1'!$B26,'Forecast 1'!$B:$B,0),MATCH('Forecast 1'!L$7,'Forecast 1'!$7:$7,0)),"Mismatch")</f>
        <v>-46090.787037037044</v>
      </c>
      <c r="M26" s="63">
        <f>IF($B26='Forecast 1'!$B26,INDEX('Forecast 1'!$1:$1048576,MATCH('Forecast 1'!$B26,'Forecast 1'!$B:$B,0),MATCH('Forecast 1'!M$7,'Forecast 1'!$7:$7,0)),"Mismatch")</f>
        <v>-45160.918209876545</v>
      </c>
      <c r="N26" s="63">
        <f>IF($B26='Forecast 1'!$B26,INDEX('Forecast 1'!$1:$1048576,MATCH('Forecast 1'!$B26,'Forecast 1'!$B:$B,0),MATCH('Forecast 1'!N$7,'Forecast 1'!$7:$7,0)),"Mismatch")</f>
        <v>-46027.737911522643</v>
      </c>
      <c r="O26" s="63">
        <f>IF($B26='Forecast 1'!$B26,INDEX('Forecast 1'!$1:$1048576,MATCH('Forecast 1'!$B26,'Forecast 1'!$B:$B,0),MATCH('Forecast 1'!O$7,'Forecast 1'!$7:$7,0)),"Mismatch")</f>
        <v>-46302.360896776408</v>
      </c>
      <c r="P26" s="63">
        <f>IF($B26='Forecast 1'!$B26,INDEX('Forecast 1'!$1:$1048576,MATCH('Forecast 1'!$B26,'Forecast 1'!$B:$B,0),MATCH('Forecast 1'!P$7,'Forecast 1'!$7:$7,0)),"Mismatch")</f>
        <v>-48129.421046239149</v>
      </c>
      <c r="Q26" s="63">
        <f>IF($B26='Forecast 1'!$B26,INDEX('Forecast 1'!$1:$1048576,MATCH('Forecast 1'!$B26,'Forecast 1'!$B:$B,0),MATCH('Forecast 1'!Q$7,'Forecast 1'!$7:$7,0)),"Mismatch")</f>
        <v>-47061.268998390115</v>
      </c>
      <c r="R26" s="63">
        <f>IF($B26='Forecast 1'!$B26,INDEX('Forecast 1'!$1:$1048576,MATCH('Forecast 1'!$B26,'Forecast 1'!$B:$B,0),MATCH('Forecast 1'!R$7,'Forecast 1'!$7:$7,0)),"Mismatch")</f>
        <v>-46462.082349973651</v>
      </c>
      <c r="S26" s="63">
        <f>IF($B26='Forecast 1'!$B26,INDEX('Forecast 1'!$1:$1048576,MATCH('Forecast 1'!$B26,'Forecast 1'!$B:$B,0),MATCH('Forecast 1'!S$7,'Forecast 1'!$7:$7,0)),"Mismatch")</f>
        <v>-46523.964902129752</v>
      </c>
      <c r="T26" s="63">
        <f>IF($B26='Forecast 1'!$B26,INDEX('Forecast 1'!$1:$1048576,MATCH('Forecast 1'!$B26,'Forecast 1'!$B:$B,0),MATCH('Forecast 1'!T$7,'Forecast 1'!$7:$7,0)),"Mismatch")</f>
        <v>-46751.139350838617</v>
      </c>
      <c r="U26" s="63">
        <f>IF($B26='Forecast 1'!$B26,INDEX('Forecast 1'!$1:$1048576,MATCH('Forecast 1'!$B26,'Forecast 1'!$B:$B,0),MATCH('Forecast 1'!U$7,'Forecast 1'!$7:$7,0)),"Mismatch")</f>
        <v>-46871.706257391284</v>
      </c>
      <c r="V26" s="63">
        <f>IF($B26='Forecast 1'!$B26,INDEX('Forecast 1'!$1:$1048576,MATCH('Forecast 1'!$B26,'Forecast 1'!$B:$B,0),MATCH('Forecast 1'!V$7,'Forecast 1'!$7:$7,0)),"Mismatch")</f>
        <v>-46966.597150827096</v>
      </c>
    </row>
    <row r="27" spans="1:22" x14ac:dyDescent="0.2">
      <c r="A27" s="69"/>
      <c r="B27" s="23" t="s">
        <v>55</v>
      </c>
      <c r="C27" s="22" t="s">
        <v>56</v>
      </c>
      <c r="D27" s="63">
        <f>IF($B27='Forecast 1'!$B27,INDEX('Forecast 1'!$1:$1048576,MATCH('Forecast 1'!$B27,'Forecast 1'!$B:$B,0),MATCH('Forecast 1'!D$7,'Forecast 1'!$7:$7,0)),"Mismatch")</f>
        <v>0</v>
      </c>
      <c r="E27" s="63">
        <f>IF($B27='Forecast 1'!$B27,INDEX('Forecast 1'!$1:$1048576,MATCH('Forecast 1'!$B27,'Forecast 1'!$B:$B,0),MATCH('Forecast 1'!E$7,'Forecast 1'!$7:$7,0)),"Mismatch")</f>
        <v>0</v>
      </c>
      <c r="F27" s="63">
        <f>IF($B27='Forecast 1'!$B27,INDEX('Forecast 1'!$1:$1048576,MATCH('Forecast 1'!$B27,'Forecast 1'!$B:$B,0),MATCH('Forecast 1'!F$7,'Forecast 1'!$7:$7,0)),"Mismatch")</f>
        <v>0</v>
      </c>
      <c r="G27" s="63">
        <f>IF($B27='Forecast 1'!$B27,INDEX('Forecast 1'!$1:$1048576,MATCH('Forecast 1'!$B27,'Forecast 1'!$B:$B,0),MATCH('Forecast 1'!G$7,'Forecast 1'!$7:$7,0)),"Mismatch")</f>
        <v>0</v>
      </c>
      <c r="H27" s="63">
        <f>IF($B27='Forecast 1'!$B27,INDEX('Forecast 1'!$1:$1048576,MATCH('Forecast 1'!$B27,'Forecast 1'!$B:$B,0),MATCH('Forecast 1'!H$7,'Forecast 1'!$7:$7,0)),"Mismatch")</f>
        <v>0</v>
      </c>
      <c r="I27" s="63">
        <f>IF($B27='Forecast 1'!$B27,INDEX('Forecast 1'!$1:$1048576,MATCH('Forecast 1'!$B27,'Forecast 1'!$B:$B,0),MATCH('Forecast 1'!I$7,'Forecast 1'!$7:$7,0)),"Mismatch")</f>
        <v>0</v>
      </c>
      <c r="J27" s="63">
        <f>IF($B27='Forecast 1'!$B27,INDEX('Forecast 1'!$1:$1048576,MATCH('Forecast 1'!$B27,'Forecast 1'!$B:$B,0),MATCH('Forecast 1'!J$7,'Forecast 1'!$7:$7,0)),"Mismatch")</f>
        <v>0</v>
      </c>
      <c r="K27" s="63">
        <f>IF($B27='Forecast 1'!$B27,INDEX('Forecast 1'!$1:$1048576,MATCH('Forecast 1'!$B27,'Forecast 1'!$B:$B,0),MATCH('Forecast 1'!K$7,'Forecast 1'!$7:$7,0)),"Mismatch")</f>
        <v>0</v>
      </c>
      <c r="L27" s="63">
        <f>IF($B27='Forecast 1'!$B27,INDEX('Forecast 1'!$1:$1048576,MATCH('Forecast 1'!$B27,'Forecast 1'!$B:$B,0),MATCH('Forecast 1'!L$7,'Forecast 1'!$7:$7,0)),"Mismatch")</f>
        <v>0</v>
      </c>
      <c r="M27" s="63">
        <f>IF($B27='Forecast 1'!$B27,INDEX('Forecast 1'!$1:$1048576,MATCH('Forecast 1'!$B27,'Forecast 1'!$B:$B,0),MATCH('Forecast 1'!M$7,'Forecast 1'!$7:$7,0)),"Mismatch")</f>
        <v>0</v>
      </c>
      <c r="N27" s="63">
        <f>IF($B27='Forecast 1'!$B27,INDEX('Forecast 1'!$1:$1048576,MATCH('Forecast 1'!$B27,'Forecast 1'!$B:$B,0),MATCH('Forecast 1'!N$7,'Forecast 1'!$7:$7,0)),"Mismatch")</f>
        <v>0</v>
      </c>
      <c r="O27" s="63">
        <f>IF($B27='Forecast 1'!$B27,INDEX('Forecast 1'!$1:$1048576,MATCH('Forecast 1'!$B27,'Forecast 1'!$B:$B,0),MATCH('Forecast 1'!O$7,'Forecast 1'!$7:$7,0)),"Mismatch")</f>
        <v>0</v>
      </c>
      <c r="P27" s="63">
        <f>IF($B27='Forecast 1'!$B27,INDEX('Forecast 1'!$1:$1048576,MATCH('Forecast 1'!$B27,'Forecast 1'!$B:$B,0),MATCH('Forecast 1'!P$7,'Forecast 1'!$7:$7,0)),"Mismatch")</f>
        <v>0</v>
      </c>
      <c r="Q27" s="63">
        <f>IF($B27='Forecast 1'!$B27,INDEX('Forecast 1'!$1:$1048576,MATCH('Forecast 1'!$B27,'Forecast 1'!$B:$B,0),MATCH('Forecast 1'!Q$7,'Forecast 1'!$7:$7,0)),"Mismatch")</f>
        <v>0</v>
      </c>
      <c r="R27" s="63">
        <f>IF($B27='Forecast 1'!$B27,INDEX('Forecast 1'!$1:$1048576,MATCH('Forecast 1'!$B27,'Forecast 1'!$B:$B,0),MATCH('Forecast 1'!R$7,'Forecast 1'!$7:$7,0)),"Mismatch")</f>
        <v>0</v>
      </c>
      <c r="S27" s="63">
        <f>IF($B27='Forecast 1'!$B27,INDEX('Forecast 1'!$1:$1048576,MATCH('Forecast 1'!$B27,'Forecast 1'!$B:$B,0),MATCH('Forecast 1'!S$7,'Forecast 1'!$7:$7,0)),"Mismatch")</f>
        <v>0</v>
      </c>
      <c r="T27" s="63">
        <f>IF($B27='Forecast 1'!$B27,INDEX('Forecast 1'!$1:$1048576,MATCH('Forecast 1'!$B27,'Forecast 1'!$B:$B,0),MATCH('Forecast 1'!T$7,'Forecast 1'!$7:$7,0)),"Mismatch")</f>
        <v>0</v>
      </c>
      <c r="U27" s="63">
        <f>IF($B27='Forecast 1'!$B27,INDEX('Forecast 1'!$1:$1048576,MATCH('Forecast 1'!$B27,'Forecast 1'!$B:$B,0),MATCH('Forecast 1'!U$7,'Forecast 1'!$7:$7,0)),"Mismatch")</f>
        <v>0</v>
      </c>
      <c r="V27" s="63">
        <f>IF($B27='Forecast 1'!$B27,INDEX('Forecast 1'!$1:$1048576,MATCH('Forecast 1'!$B27,'Forecast 1'!$B:$B,0),MATCH('Forecast 1'!V$7,'Forecast 1'!$7:$7,0)),"Mismatch")</f>
        <v>0</v>
      </c>
    </row>
    <row r="28" spans="1:22" x14ac:dyDescent="0.2">
      <c r="A28" s="69"/>
      <c r="B28" s="23" t="s">
        <v>57</v>
      </c>
      <c r="C28" s="22" t="s">
        <v>54</v>
      </c>
      <c r="D28" s="63">
        <f>IF($B28='Forecast 1'!$B28,INDEX('Forecast 1'!$1:$1048576,MATCH('Forecast 1'!$B28,'Forecast 1'!$B:$B,0),MATCH('Forecast 1'!D$7,'Forecast 1'!$7:$7,0)),"Mismatch")</f>
        <v>-310</v>
      </c>
      <c r="E28" s="63">
        <f>IF($B28='Forecast 1'!$B28,INDEX('Forecast 1'!$1:$1048576,MATCH('Forecast 1'!$B28,'Forecast 1'!$B:$B,0),MATCH('Forecast 1'!E$7,'Forecast 1'!$7:$7,0)),"Mismatch")</f>
        <v>-310</v>
      </c>
      <c r="F28" s="63">
        <f>IF($B28='Forecast 1'!$B28,INDEX('Forecast 1'!$1:$1048576,MATCH('Forecast 1'!$B28,'Forecast 1'!$B:$B,0),MATCH('Forecast 1'!F$7,'Forecast 1'!$7:$7,0)),"Mismatch")</f>
        <v>-310</v>
      </c>
      <c r="G28" s="63">
        <f>IF($B28='Forecast 1'!$B28,INDEX('Forecast 1'!$1:$1048576,MATCH('Forecast 1'!$B28,'Forecast 1'!$B:$B,0),MATCH('Forecast 1'!G$7,'Forecast 1'!$7:$7,0)),"Mismatch")</f>
        <v>-310</v>
      </c>
      <c r="H28" s="63">
        <f>IF($B28='Forecast 1'!$B28,INDEX('Forecast 1'!$1:$1048576,MATCH('Forecast 1'!$B28,'Forecast 1'!$B:$B,0),MATCH('Forecast 1'!H$7,'Forecast 1'!$7:$7,0)),"Mismatch")</f>
        <v>-310</v>
      </c>
      <c r="I28" s="63">
        <f>IF($B28='Forecast 1'!$B28,INDEX('Forecast 1'!$1:$1048576,MATCH('Forecast 1'!$B28,'Forecast 1'!$B:$B,0),MATCH('Forecast 1'!I$7,'Forecast 1'!$7:$7,0)),"Mismatch")</f>
        <v>-310</v>
      </c>
      <c r="J28" s="63">
        <f>IF($B28='Forecast 1'!$B28,INDEX('Forecast 1'!$1:$1048576,MATCH('Forecast 1'!$B28,'Forecast 1'!$B:$B,0),MATCH('Forecast 1'!J$7,'Forecast 1'!$7:$7,0)),"Mismatch")</f>
        <v>-310</v>
      </c>
      <c r="K28" s="63">
        <f>IF($B28='Forecast 1'!$B28,INDEX('Forecast 1'!$1:$1048576,MATCH('Forecast 1'!$B28,'Forecast 1'!$B:$B,0),MATCH('Forecast 1'!K$7,'Forecast 1'!$7:$7,0)),"Mismatch")</f>
        <v>-310</v>
      </c>
      <c r="L28" s="63">
        <f>IF($B28='Forecast 1'!$B28,INDEX('Forecast 1'!$1:$1048576,MATCH('Forecast 1'!$B28,'Forecast 1'!$B:$B,0),MATCH('Forecast 1'!L$7,'Forecast 1'!$7:$7,0)),"Mismatch")</f>
        <v>-310</v>
      </c>
      <c r="M28" s="63">
        <f>IF($B28='Forecast 1'!$B28,INDEX('Forecast 1'!$1:$1048576,MATCH('Forecast 1'!$B28,'Forecast 1'!$B:$B,0),MATCH('Forecast 1'!M$7,'Forecast 1'!$7:$7,0)),"Mismatch")</f>
        <v>-310</v>
      </c>
      <c r="N28" s="63">
        <f>IF($B28='Forecast 1'!$B28,INDEX('Forecast 1'!$1:$1048576,MATCH('Forecast 1'!$B28,'Forecast 1'!$B:$B,0),MATCH('Forecast 1'!N$7,'Forecast 1'!$7:$7,0)),"Mismatch")</f>
        <v>-310</v>
      </c>
      <c r="O28" s="63">
        <f>IF($B28='Forecast 1'!$B28,INDEX('Forecast 1'!$1:$1048576,MATCH('Forecast 1'!$B28,'Forecast 1'!$B:$B,0),MATCH('Forecast 1'!O$7,'Forecast 1'!$7:$7,0)),"Mismatch")</f>
        <v>-310</v>
      </c>
      <c r="P28" s="63">
        <f>IF($B28='Forecast 1'!$B28,INDEX('Forecast 1'!$1:$1048576,MATCH('Forecast 1'!$B28,'Forecast 1'!$B:$B,0),MATCH('Forecast 1'!P$7,'Forecast 1'!$7:$7,0)),"Mismatch")</f>
        <v>-310</v>
      </c>
      <c r="Q28" s="63">
        <f>IF($B28='Forecast 1'!$B28,INDEX('Forecast 1'!$1:$1048576,MATCH('Forecast 1'!$B28,'Forecast 1'!$B:$B,0),MATCH('Forecast 1'!Q$7,'Forecast 1'!$7:$7,0)),"Mismatch")</f>
        <v>-310</v>
      </c>
      <c r="R28" s="63">
        <f>IF($B28='Forecast 1'!$B28,INDEX('Forecast 1'!$1:$1048576,MATCH('Forecast 1'!$B28,'Forecast 1'!$B:$B,0),MATCH('Forecast 1'!R$7,'Forecast 1'!$7:$7,0)),"Mismatch")</f>
        <v>-310</v>
      </c>
      <c r="S28" s="63">
        <f>IF($B28='Forecast 1'!$B28,INDEX('Forecast 1'!$1:$1048576,MATCH('Forecast 1'!$B28,'Forecast 1'!$B:$B,0),MATCH('Forecast 1'!S$7,'Forecast 1'!$7:$7,0)),"Mismatch")</f>
        <v>-310</v>
      </c>
      <c r="T28" s="63">
        <f>IF($B28='Forecast 1'!$B28,INDEX('Forecast 1'!$1:$1048576,MATCH('Forecast 1'!$B28,'Forecast 1'!$B:$B,0),MATCH('Forecast 1'!T$7,'Forecast 1'!$7:$7,0)),"Mismatch")</f>
        <v>-310</v>
      </c>
      <c r="U28" s="63">
        <f>IF($B28='Forecast 1'!$B28,INDEX('Forecast 1'!$1:$1048576,MATCH('Forecast 1'!$B28,'Forecast 1'!$B:$B,0),MATCH('Forecast 1'!U$7,'Forecast 1'!$7:$7,0)),"Mismatch")</f>
        <v>-310</v>
      </c>
      <c r="V28" s="63">
        <f>IF($B28='Forecast 1'!$B28,INDEX('Forecast 1'!$1:$1048576,MATCH('Forecast 1'!$B28,'Forecast 1'!$B:$B,0),MATCH('Forecast 1'!V$7,'Forecast 1'!$7:$7,0)),"Mismatch")</f>
        <v>-310</v>
      </c>
    </row>
    <row r="29" spans="1:22" x14ac:dyDescent="0.2">
      <c r="A29" s="69"/>
      <c r="B29" s="23" t="s">
        <v>58</v>
      </c>
      <c r="C29" s="22" t="s">
        <v>56</v>
      </c>
      <c r="D29" s="63">
        <f>IF($B29='Forecast 1'!$B29,INDEX('Forecast 1'!$1:$1048576,MATCH('Forecast 1'!$B29,'Forecast 1'!$B:$B,0),MATCH('Forecast 1'!D$7,'Forecast 1'!$7:$7,0)),"Mismatch")</f>
        <v>0</v>
      </c>
      <c r="E29" s="63">
        <f>IF($B29='Forecast 1'!$B29,INDEX('Forecast 1'!$1:$1048576,MATCH('Forecast 1'!$B29,'Forecast 1'!$B:$B,0),MATCH('Forecast 1'!E$7,'Forecast 1'!$7:$7,0)),"Mismatch")</f>
        <v>0</v>
      </c>
      <c r="F29" s="63">
        <f>IF($B29='Forecast 1'!$B29,INDEX('Forecast 1'!$1:$1048576,MATCH('Forecast 1'!$B29,'Forecast 1'!$B:$B,0),MATCH('Forecast 1'!F$7,'Forecast 1'!$7:$7,0)),"Mismatch")</f>
        <v>0</v>
      </c>
      <c r="G29" s="63">
        <f>IF($B29='Forecast 1'!$B29,INDEX('Forecast 1'!$1:$1048576,MATCH('Forecast 1'!$B29,'Forecast 1'!$B:$B,0),MATCH('Forecast 1'!G$7,'Forecast 1'!$7:$7,0)),"Mismatch")</f>
        <v>0</v>
      </c>
      <c r="H29" s="63">
        <f>IF($B29='Forecast 1'!$B29,INDEX('Forecast 1'!$1:$1048576,MATCH('Forecast 1'!$B29,'Forecast 1'!$B:$B,0),MATCH('Forecast 1'!H$7,'Forecast 1'!$7:$7,0)),"Mismatch")</f>
        <v>0</v>
      </c>
      <c r="I29" s="63">
        <f>IF($B29='Forecast 1'!$B29,INDEX('Forecast 1'!$1:$1048576,MATCH('Forecast 1'!$B29,'Forecast 1'!$B:$B,0),MATCH('Forecast 1'!I$7,'Forecast 1'!$7:$7,0)),"Mismatch")</f>
        <v>0</v>
      </c>
      <c r="J29" s="63">
        <f>IF($B29='Forecast 1'!$B29,INDEX('Forecast 1'!$1:$1048576,MATCH('Forecast 1'!$B29,'Forecast 1'!$B:$B,0),MATCH('Forecast 1'!J$7,'Forecast 1'!$7:$7,0)),"Mismatch")</f>
        <v>0</v>
      </c>
      <c r="K29" s="63">
        <f>IF($B29='Forecast 1'!$B29,INDEX('Forecast 1'!$1:$1048576,MATCH('Forecast 1'!$B29,'Forecast 1'!$B:$B,0),MATCH('Forecast 1'!K$7,'Forecast 1'!$7:$7,0)),"Mismatch")</f>
        <v>0</v>
      </c>
      <c r="L29" s="63">
        <f>IF($B29='Forecast 1'!$B29,INDEX('Forecast 1'!$1:$1048576,MATCH('Forecast 1'!$B29,'Forecast 1'!$B:$B,0),MATCH('Forecast 1'!L$7,'Forecast 1'!$7:$7,0)),"Mismatch")</f>
        <v>0</v>
      </c>
      <c r="M29" s="63">
        <f>IF($B29='Forecast 1'!$B29,INDEX('Forecast 1'!$1:$1048576,MATCH('Forecast 1'!$B29,'Forecast 1'!$B:$B,0),MATCH('Forecast 1'!M$7,'Forecast 1'!$7:$7,0)),"Mismatch")</f>
        <v>0</v>
      </c>
      <c r="N29" s="63">
        <f>IF($B29='Forecast 1'!$B29,INDEX('Forecast 1'!$1:$1048576,MATCH('Forecast 1'!$B29,'Forecast 1'!$B:$B,0),MATCH('Forecast 1'!N$7,'Forecast 1'!$7:$7,0)),"Mismatch")</f>
        <v>0</v>
      </c>
      <c r="O29" s="63">
        <f>IF($B29='Forecast 1'!$B29,INDEX('Forecast 1'!$1:$1048576,MATCH('Forecast 1'!$B29,'Forecast 1'!$B:$B,0),MATCH('Forecast 1'!O$7,'Forecast 1'!$7:$7,0)),"Mismatch")</f>
        <v>0</v>
      </c>
      <c r="P29" s="63">
        <f>IF($B29='Forecast 1'!$B29,INDEX('Forecast 1'!$1:$1048576,MATCH('Forecast 1'!$B29,'Forecast 1'!$B:$B,0),MATCH('Forecast 1'!P$7,'Forecast 1'!$7:$7,0)),"Mismatch")</f>
        <v>0</v>
      </c>
      <c r="Q29" s="63">
        <f>IF($B29='Forecast 1'!$B29,INDEX('Forecast 1'!$1:$1048576,MATCH('Forecast 1'!$B29,'Forecast 1'!$B:$B,0),MATCH('Forecast 1'!Q$7,'Forecast 1'!$7:$7,0)),"Mismatch")</f>
        <v>0</v>
      </c>
      <c r="R29" s="63">
        <f>IF($B29='Forecast 1'!$B29,INDEX('Forecast 1'!$1:$1048576,MATCH('Forecast 1'!$B29,'Forecast 1'!$B:$B,0),MATCH('Forecast 1'!R$7,'Forecast 1'!$7:$7,0)),"Mismatch")</f>
        <v>0</v>
      </c>
      <c r="S29" s="63">
        <f>IF($B29='Forecast 1'!$B29,INDEX('Forecast 1'!$1:$1048576,MATCH('Forecast 1'!$B29,'Forecast 1'!$B:$B,0),MATCH('Forecast 1'!S$7,'Forecast 1'!$7:$7,0)),"Mismatch")</f>
        <v>0</v>
      </c>
      <c r="T29" s="63">
        <f>IF($B29='Forecast 1'!$B29,INDEX('Forecast 1'!$1:$1048576,MATCH('Forecast 1'!$B29,'Forecast 1'!$B:$B,0),MATCH('Forecast 1'!T$7,'Forecast 1'!$7:$7,0)),"Mismatch")</f>
        <v>0</v>
      </c>
      <c r="U29" s="63">
        <f>IF($B29='Forecast 1'!$B29,INDEX('Forecast 1'!$1:$1048576,MATCH('Forecast 1'!$B29,'Forecast 1'!$B:$B,0),MATCH('Forecast 1'!U$7,'Forecast 1'!$7:$7,0)),"Mismatch")</f>
        <v>0</v>
      </c>
      <c r="V29" s="63">
        <f>IF($B29='Forecast 1'!$B29,INDEX('Forecast 1'!$1:$1048576,MATCH('Forecast 1'!$B29,'Forecast 1'!$B:$B,0),MATCH('Forecast 1'!V$7,'Forecast 1'!$7:$7,0)),"Mismatch")</f>
        <v>0</v>
      </c>
    </row>
    <row r="30" spans="1:22" x14ac:dyDescent="0.2">
      <c r="A30" s="69"/>
      <c r="B30" s="23" t="s">
        <v>59</v>
      </c>
      <c r="C30" s="22" t="s">
        <v>54</v>
      </c>
      <c r="D30" s="63">
        <f>IF($B30='Forecast 1'!$B30,INDEX('Forecast 1'!$1:$1048576,MATCH('Forecast 1'!$B30,'Forecast 1'!$B:$B,0),MATCH('Forecast 1'!D$7,'Forecast 1'!$7:$7,0)),"Mismatch")</f>
        <v>0</v>
      </c>
      <c r="E30" s="63">
        <f>IF($B30='Forecast 1'!$B30,INDEX('Forecast 1'!$1:$1048576,MATCH('Forecast 1'!$B30,'Forecast 1'!$B:$B,0),MATCH('Forecast 1'!E$7,'Forecast 1'!$7:$7,0)),"Mismatch")</f>
        <v>-1350</v>
      </c>
      <c r="F30" s="63">
        <f>IF($B30='Forecast 1'!$B30,INDEX('Forecast 1'!$1:$1048576,MATCH('Forecast 1'!$B30,'Forecast 1'!$B:$B,0),MATCH('Forecast 1'!F$7,'Forecast 1'!$7:$7,0)),"Mismatch")</f>
        <v>0</v>
      </c>
      <c r="G30" s="63">
        <f>IF($B30='Forecast 1'!$B30,INDEX('Forecast 1'!$1:$1048576,MATCH('Forecast 1'!$B30,'Forecast 1'!$B:$B,0),MATCH('Forecast 1'!G$7,'Forecast 1'!$7:$7,0)),"Mismatch")</f>
        <v>0</v>
      </c>
      <c r="H30" s="63">
        <f>IF($B30='Forecast 1'!$B30,INDEX('Forecast 1'!$1:$1048576,MATCH('Forecast 1'!$B30,'Forecast 1'!$B:$B,0),MATCH('Forecast 1'!H$7,'Forecast 1'!$7:$7,0)),"Mismatch")</f>
        <v>-1350</v>
      </c>
      <c r="I30" s="63">
        <f>IF($B30='Forecast 1'!$B30,INDEX('Forecast 1'!$1:$1048576,MATCH('Forecast 1'!$B30,'Forecast 1'!$B:$B,0),MATCH('Forecast 1'!I$7,'Forecast 1'!$7:$7,0)),"Mismatch")</f>
        <v>-1350</v>
      </c>
      <c r="J30" s="63">
        <f>IF($B30='Forecast 1'!$B30,INDEX('Forecast 1'!$1:$1048576,MATCH('Forecast 1'!$B30,'Forecast 1'!$B:$B,0),MATCH('Forecast 1'!J$7,'Forecast 1'!$7:$7,0)),"Mismatch")</f>
        <v>-675</v>
      </c>
      <c r="K30" s="63">
        <f>IF($B30='Forecast 1'!$B30,INDEX('Forecast 1'!$1:$1048576,MATCH('Forecast 1'!$B30,'Forecast 1'!$B:$B,0),MATCH('Forecast 1'!K$7,'Forecast 1'!$7:$7,0)),"Mismatch")</f>
        <v>-787.5</v>
      </c>
      <c r="L30" s="63">
        <f>IF($B30='Forecast 1'!$B30,INDEX('Forecast 1'!$1:$1048576,MATCH('Forecast 1'!$B30,'Forecast 1'!$B:$B,0),MATCH('Forecast 1'!L$7,'Forecast 1'!$7:$7,0)),"Mismatch")</f>
        <v>-693.75</v>
      </c>
      <c r="M30" s="63">
        <f>IF($B30='Forecast 1'!$B30,INDEX('Forecast 1'!$1:$1048576,MATCH('Forecast 1'!$B30,'Forecast 1'!$B:$B,0),MATCH('Forecast 1'!M$7,'Forecast 1'!$7:$7,0)),"Mismatch")</f>
        <v>-809.375</v>
      </c>
      <c r="N30" s="63">
        <f>IF($B30='Forecast 1'!$B30,INDEX('Forecast 1'!$1:$1048576,MATCH('Forecast 1'!$B30,'Forecast 1'!$B:$B,0),MATCH('Forecast 1'!N$7,'Forecast 1'!$7:$7,0)),"Mismatch")</f>
        <v>-944.27083333333337</v>
      </c>
      <c r="O30" s="63">
        <f>IF($B30='Forecast 1'!$B30,INDEX('Forecast 1'!$1:$1048576,MATCH('Forecast 1'!$B30,'Forecast 1'!$B:$B,0),MATCH('Forecast 1'!O$7,'Forecast 1'!$7:$7,0)),"Mismatch")</f>
        <v>-876.64930555555554</v>
      </c>
      <c r="P30" s="63">
        <f>IF($B30='Forecast 1'!$B30,INDEX('Forecast 1'!$1:$1048576,MATCH('Forecast 1'!$B30,'Forecast 1'!$B:$B,0),MATCH('Forecast 1'!P$7,'Forecast 1'!$7:$7,0)),"Mismatch")</f>
        <v>-797.75752314814815</v>
      </c>
      <c r="Q30" s="63">
        <f>IF($B30='Forecast 1'!$B30,INDEX('Forecast 1'!$1:$1048576,MATCH('Forecast 1'!$B30,'Forecast 1'!$B:$B,0),MATCH('Forecast 1'!Q$7,'Forecast 1'!$7:$7,0)),"Mismatch")</f>
        <v>-818.21711033950612</v>
      </c>
      <c r="R30" s="63">
        <f>IF($B30='Forecast 1'!$B30,INDEX('Forecast 1'!$1:$1048576,MATCH('Forecast 1'!$B30,'Forecast 1'!$B:$B,0),MATCH('Forecast 1'!R$7,'Forecast 1'!$7:$7,0)),"Mismatch")</f>
        <v>-823.33662872942386</v>
      </c>
      <c r="S30" s="63">
        <f>IF($B30='Forecast 1'!$B30,INDEX('Forecast 1'!$1:$1048576,MATCH('Forecast 1'!$B30,'Forecast 1'!$B:$B,0),MATCH('Forecast 1'!S$7,'Forecast 1'!$7:$7,0)),"Mismatch")</f>
        <v>-844.93440018432784</v>
      </c>
      <c r="T30" s="63">
        <f>IF($B30='Forecast 1'!$B30,INDEX('Forecast 1'!$1:$1048576,MATCH('Forecast 1'!$B30,'Forecast 1'!$B:$B,0),MATCH('Forecast 1'!T$7,'Forecast 1'!$7:$7,0)),"Mismatch")</f>
        <v>-850.86096688171585</v>
      </c>
      <c r="U30" s="63">
        <f>IF($B30='Forecast 1'!$B30,INDEX('Forecast 1'!$1:$1048576,MATCH('Forecast 1'!$B30,'Forecast 1'!$B:$B,0),MATCH('Forecast 1'!U$7,'Forecast 1'!$7:$7,0)),"Mismatch")</f>
        <v>-835.29265580644631</v>
      </c>
      <c r="V30" s="63">
        <f>IF($B30='Forecast 1'!$B30,INDEX('Forecast 1'!$1:$1048576,MATCH('Forecast 1'!$B30,'Forecast 1'!$B:$B,0),MATCH('Forecast 1'!V$7,'Forecast 1'!$7:$7,0)),"Mismatch")</f>
        <v>-828.39988084826143</v>
      </c>
    </row>
    <row r="31" spans="1:22" x14ac:dyDescent="0.2">
      <c r="A31" s="69"/>
      <c r="B31" s="23" t="s">
        <v>60</v>
      </c>
      <c r="C31" s="22" t="s">
        <v>54</v>
      </c>
      <c r="D31" s="63">
        <f>IF($B31='Forecast 1'!$B31,INDEX('Forecast 1'!$1:$1048576,MATCH('Forecast 1'!$B31,'Forecast 1'!$B:$B,0),MATCH('Forecast 1'!D$7,'Forecast 1'!$7:$7,0)),"Mismatch")</f>
        <v>0</v>
      </c>
      <c r="E31" s="63">
        <f>IF($B31='Forecast 1'!$B31,INDEX('Forecast 1'!$1:$1048576,MATCH('Forecast 1'!$B31,'Forecast 1'!$B:$B,0),MATCH('Forecast 1'!E$7,'Forecast 1'!$7:$7,0)),"Mismatch")</f>
        <v>-1510</v>
      </c>
      <c r="F31" s="63">
        <f>IF($B31='Forecast 1'!$B31,INDEX('Forecast 1'!$1:$1048576,MATCH('Forecast 1'!$B31,'Forecast 1'!$B:$B,0),MATCH('Forecast 1'!F$7,'Forecast 1'!$7:$7,0)),"Mismatch")</f>
        <v>-1020</v>
      </c>
      <c r="G31" s="63">
        <f>IF($B31='Forecast 1'!$B31,INDEX('Forecast 1'!$1:$1048576,MATCH('Forecast 1'!$B31,'Forecast 1'!$B:$B,0),MATCH('Forecast 1'!G$7,'Forecast 1'!$7:$7,0)),"Mismatch")</f>
        <v>0</v>
      </c>
      <c r="H31" s="63">
        <f>IF($B31='Forecast 1'!$B31,INDEX('Forecast 1'!$1:$1048576,MATCH('Forecast 1'!$B31,'Forecast 1'!$B:$B,0),MATCH('Forecast 1'!H$7,'Forecast 1'!$7:$7,0)),"Mismatch")</f>
        <v>0</v>
      </c>
      <c r="I31" s="63">
        <f>IF($B31='Forecast 1'!$B31,INDEX('Forecast 1'!$1:$1048576,MATCH('Forecast 1'!$B31,'Forecast 1'!$B:$B,0),MATCH('Forecast 1'!I$7,'Forecast 1'!$7:$7,0)),"Mismatch")</f>
        <v>-1510</v>
      </c>
      <c r="J31" s="63">
        <f>IF($B31='Forecast 1'!$B31,INDEX('Forecast 1'!$1:$1048576,MATCH('Forecast 1'!$B31,'Forecast 1'!$B:$B,0),MATCH('Forecast 1'!J$7,'Forecast 1'!$7:$7,0)),"Mismatch")</f>
        <v>-673.33333333333337</v>
      </c>
      <c r="K31" s="63">
        <f>IF($B31='Forecast 1'!$B31,INDEX('Forecast 1'!$1:$1048576,MATCH('Forecast 1'!$B31,'Forecast 1'!$B:$B,0),MATCH('Forecast 1'!K$7,'Forecast 1'!$7:$7,0)),"Mismatch")</f>
        <v>-785.55555555555554</v>
      </c>
      <c r="L31" s="63">
        <f>IF($B31='Forecast 1'!$B31,INDEX('Forecast 1'!$1:$1048576,MATCH('Forecast 1'!$B31,'Forecast 1'!$B:$B,0),MATCH('Forecast 1'!L$7,'Forecast 1'!$7:$7,0)),"Mismatch")</f>
        <v>-664.81481481481489</v>
      </c>
      <c r="M31" s="63">
        <f>IF($B31='Forecast 1'!$B31,INDEX('Forecast 1'!$1:$1048576,MATCH('Forecast 1'!$B31,'Forecast 1'!$B:$B,0),MATCH('Forecast 1'!M$7,'Forecast 1'!$7:$7,0)),"Mismatch")</f>
        <v>-605.61728395061732</v>
      </c>
      <c r="N31" s="63">
        <f>IF($B31='Forecast 1'!$B31,INDEX('Forecast 1'!$1:$1048576,MATCH('Forecast 1'!$B31,'Forecast 1'!$B:$B,0),MATCH('Forecast 1'!N$7,'Forecast 1'!$7:$7,0)),"Mismatch")</f>
        <v>-706.55349794238691</v>
      </c>
      <c r="O31" s="63">
        <f>IF($B31='Forecast 1'!$B31,INDEX('Forecast 1'!$1:$1048576,MATCH('Forecast 1'!$B31,'Forecast 1'!$B:$B,0),MATCH('Forecast 1'!O$7,'Forecast 1'!$7:$7,0)),"Mismatch")</f>
        <v>-824.31241426611814</v>
      </c>
      <c r="P31" s="63">
        <f>IF($B31='Forecast 1'!$B31,INDEX('Forecast 1'!$1:$1048576,MATCH('Forecast 1'!$B31,'Forecast 1'!$B:$B,0),MATCH('Forecast 1'!P$7,'Forecast 1'!$7:$7,0)),"Mismatch")</f>
        <v>-710.03114997713783</v>
      </c>
      <c r="Q31" s="63">
        <f>IF($B31='Forecast 1'!$B31,INDEX('Forecast 1'!$1:$1048576,MATCH('Forecast 1'!$B31,'Forecast 1'!$B:$B,0),MATCH('Forecast 1'!Q$7,'Forecast 1'!$7:$7,0)),"Mismatch")</f>
        <v>-716.14745275110511</v>
      </c>
      <c r="R31" s="63">
        <f>IF($B31='Forecast 1'!$B31,INDEX('Forecast 1'!$1:$1048576,MATCH('Forecast 1'!$B31,'Forecast 1'!$B:$B,0),MATCH('Forecast 1'!R$7,'Forecast 1'!$7:$7,0)),"Mismatch")</f>
        <v>-704.57943561703007</v>
      </c>
      <c r="S31" s="63">
        <f>IF($B31='Forecast 1'!$B31,INDEX('Forecast 1'!$1:$1048576,MATCH('Forecast 1'!$B31,'Forecast 1'!$B:$B,0),MATCH('Forecast 1'!S$7,'Forecast 1'!$7:$7,0)),"Mismatch")</f>
        <v>-711.20687241739927</v>
      </c>
      <c r="T31" s="63">
        <f>IF($B31='Forecast 1'!$B31,INDEX('Forecast 1'!$1:$1048576,MATCH('Forecast 1'!$B31,'Forecast 1'!$B:$B,0),MATCH('Forecast 1'!T$7,'Forecast 1'!$7:$7,0)),"Mismatch")</f>
        <v>-728.80513716186294</v>
      </c>
      <c r="U31" s="63">
        <f>IF($B31='Forecast 1'!$B31,INDEX('Forecast 1'!$1:$1048576,MATCH('Forecast 1'!$B31,'Forecast 1'!$B:$B,0),MATCH('Forecast 1'!U$7,'Forecast 1'!$7:$7,0)),"Mismatch")</f>
        <v>-732.51374369844223</v>
      </c>
      <c r="V31" s="63">
        <f>IF($B31='Forecast 1'!$B31,INDEX('Forecast 1'!$1:$1048576,MATCH('Forecast 1'!$B31,'Forecast 1'!$B:$B,0),MATCH('Forecast 1'!V$7,'Forecast 1'!$7:$7,0)),"Mismatch")</f>
        <v>-717.21396527049626</v>
      </c>
    </row>
    <row r="32" spans="1:22" x14ac:dyDescent="0.2">
      <c r="A32" s="69"/>
      <c r="B32" s="23" t="s">
        <v>61</v>
      </c>
      <c r="C32" s="22" t="s">
        <v>56</v>
      </c>
      <c r="D32" s="63">
        <f>IF($B32='Forecast 1'!$B32,INDEX('Forecast 1'!$1:$1048576,MATCH('Forecast 1'!$B32,'Forecast 1'!$B:$B,0),MATCH('Forecast 1'!D$7,'Forecast 1'!$7:$7,0)),"Mismatch")</f>
        <v>0</v>
      </c>
      <c r="E32" s="63">
        <f>IF($B32='Forecast 1'!$B32,INDEX('Forecast 1'!$1:$1048576,MATCH('Forecast 1'!$B32,'Forecast 1'!$B:$B,0),MATCH('Forecast 1'!E$7,'Forecast 1'!$7:$7,0)),"Mismatch")</f>
        <v>0</v>
      </c>
      <c r="F32" s="63">
        <f>IF($B32='Forecast 1'!$B32,INDEX('Forecast 1'!$1:$1048576,MATCH('Forecast 1'!$B32,'Forecast 1'!$B:$B,0),MATCH('Forecast 1'!F$7,'Forecast 1'!$7:$7,0)),"Mismatch")</f>
        <v>0</v>
      </c>
      <c r="G32" s="63">
        <f>IF($B32='Forecast 1'!$B32,INDEX('Forecast 1'!$1:$1048576,MATCH('Forecast 1'!$B32,'Forecast 1'!$B:$B,0),MATCH('Forecast 1'!G$7,'Forecast 1'!$7:$7,0)),"Mismatch")</f>
        <v>0</v>
      </c>
      <c r="H32" s="63">
        <f>IF($B32='Forecast 1'!$B32,INDEX('Forecast 1'!$1:$1048576,MATCH('Forecast 1'!$B32,'Forecast 1'!$B:$B,0),MATCH('Forecast 1'!H$7,'Forecast 1'!$7:$7,0)),"Mismatch")</f>
        <v>0</v>
      </c>
      <c r="I32" s="63">
        <f>IF($B32='Forecast 1'!$B32,INDEX('Forecast 1'!$1:$1048576,MATCH('Forecast 1'!$B32,'Forecast 1'!$B:$B,0),MATCH('Forecast 1'!I$7,'Forecast 1'!$7:$7,0)),"Mismatch")</f>
        <v>0</v>
      </c>
      <c r="J32" s="63">
        <f>IF($B32='Forecast 1'!$B32,INDEX('Forecast 1'!$1:$1048576,MATCH('Forecast 1'!$B32,'Forecast 1'!$B:$B,0),MATCH('Forecast 1'!J$7,'Forecast 1'!$7:$7,0)),"Mismatch")</f>
        <v>0</v>
      </c>
      <c r="K32" s="63">
        <f>IF($B32='Forecast 1'!$B32,INDEX('Forecast 1'!$1:$1048576,MATCH('Forecast 1'!$B32,'Forecast 1'!$B:$B,0),MATCH('Forecast 1'!K$7,'Forecast 1'!$7:$7,0)),"Mismatch")</f>
        <v>0</v>
      </c>
      <c r="L32" s="63">
        <f>IF($B32='Forecast 1'!$B32,INDEX('Forecast 1'!$1:$1048576,MATCH('Forecast 1'!$B32,'Forecast 1'!$B:$B,0),MATCH('Forecast 1'!L$7,'Forecast 1'!$7:$7,0)),"Mismatch")</f>
        <v>0</v>
      </c>
      <c r="M32" s="63">
        <f>IF($B32='Forecast 1'!$B32,INDEX('Forecast 1'!$1:$1048576,MATCH('Forecast 1'!$B32,'Forecast 1'!$B:$B,0),MATCH('Forecast 1'!M$7,'Forecast 1'!$7:$7,0)),"Mismatch")</f>
        <v>0</v>
      </c>
      <c r="N32" s="63">
        <f>IF($B32='Forecast 1'!$B32,INDEX('Forecast 1'!$1:$1048576,MATCH('Forecast 1'!$B32,'Forecast 1'!$B:$B,0),MATCH('Forecast 1'!N$7,'Forecast 1'!$7:$7,0)),"Mismatch")</f>
        <v>0</v>
      </c>
      <c r="O32" s="63">
        <f>IF($B32='Forecast 1'!$B32,INDEX('Forecast 1'!$1:$1048576,MATCH('Forecast 1'!$B32,'Forecast 1'!$B:$B,0),MATCH('Forecast 1'!O$7,'Forecast 1'!$7:$7,0)),"Mismatch")</f>
        <v>0</v>
      </c>
      <c r="P32" s="63">
        <f>IF($B32='Forecast 1'!$B32,INDEX('Forecast 1'!$1:$1048576,MATCH('Forecast 1'!$B32,'Forecast 1'!$B:$B,0),MATCH('Forecast 1'!P$7,'Forecast 1'!$7:$7,0)),"Mismatch")</f>
        <v>0</v>
      </c>
      <c r="Q32" s="63">
        <f>IF($B32='Forecast 1'!$B32,INDEX('Forecast 1'!$1:$1048576,MATCH('Forecast 1'!$B32,'Forecast 1'!$B:$B,0),MATCH('Forecast 1'!Q$7,'Forecast 1'!$7:$7,0)),"Mismatch")</f>
        <v>0</v>
      </c>
      <c r="R32" s="63">
        <f>IF($B32='Forecast 1'!$B32,INDEX('Forecast 1'!$1:$1048576,MATCH('Forecast 1'!$B32,'Forecast 1'!$B:$B,0),MATCH('Forecast 1'!R$7,'Forecast 1'!$7:$7,0)),"Mismatch")</f>
        <v>0</v>
      </c>
      <c r="S32" s="63">
        <f>IF($B32='Forecast 1'!$B32,INDEX('Forecast 1'!$1:$1048576,MATCH('Forecast 1'!$B32,'Forecast 1'!$B:$B,0),MATCH('Forecast 1'!S$7,'Forecast 1'!$7:$7,0)),"Mismatch")</f>
        <v>0</v>
      </c>
      <c r="T32" s="63">
        <f>IF($B32='Forecast 1'!$B32,INDEX('Forecast 1'!$1:$1048576,MATCH('Forecast 1'!$B32,'Forecast 1'!$B:$B,0),MATCH('Forecast 1'!T$7,'Forecast 1'!$7:$7,0)),"Mismatch")</f>
        <v>0</v>
      </c>
      <c r="U32" s="63">
        <f>IF($B32='Forecast 1'!$B32,INDEX('Forecast 1'!$1:$1048576,MATCH('Forecast 1'!$B32,'Forecast 1'!$B:$B,0),MATCH('Forecast 1'!U$7,'Forecast 1'!$7:$7,0)),"Mismatch")</f>
        <v>0</v>
      </c>
      <c r="V32" s="63">
        <f>IF($B32='Forecast 1'!$B32,INDEX('Forecast 1'!$1:$1048576,MATCH('Forecast 1'!$B32,'Forecast 1'!$B:$B,0),MATCH('Forecast 1'!V$7,'Forecast 1'!$7:$7,0)),"Mismatch")</f>
        <v>0</v>
      </c>
    </row>
    <row r="33" spans="1:22" x14ac:dyDescent="0.2">
      <c r="A33" s="69"/>
      <c r="B33" s="23" t="s">
        <v>62</v>
      </c>
      <c r="C33" s="22" t="s">
        <v>63</v>
      </c>
      <c r="D33" s="63">
        <f>IF($B33='Forecast 1'!$B33,INDEX('Forecast 1'!$1:$1048576,MATCH('Forecast 1'!$B33,'Forecast 1'!$B:$B,0),MATCH('Forecast 1'!D$7,'Forecast 1'!$7:$7,0)),"Mismatch")</f>
        <v>0</v>
      </c>
      <c r="E33" s="63">
        <f>IF($B33='Forecast 1'!$B33,INDEX('Forecast 1'!$1:$1048576,MATCH('Forecast 1'!$B33,'Forecast 1'!$B:$B,0),MATCH('Forecast 1'!E$7,'Forecast 1'!$7:$7,0)),"Mismatch")</f>
        <v>-5000</v>
      </c>
      <c r="F33" s="63">
        <f>IF($B33='Forecast 1'!$B33,INDEX('Forecast 1'!$1:$1048576,MATCH('Forecast 1'!$B33,'Forecast 1'!$B:$B,0),MATCH('Forecast 1'!F$7,'Forecast 1'!$7:$7,0)),"Mismatch")</f>
        <v>0</v>
      </c>
      <c r="G33" s="63">
        <f>IF($B33='Forecast 1'!$B33,INDEX('Forecast 1'!$1:$1048576,MATCH('Forecast 1'!$B33,'Forecast 1'!$B:$B,0),MATCH('Forecast 1'!G$7,'Forecast 1'!$7:$7,0)),"Mismatch")</f>
        <v>0</v>
      </c>
      <c r="H33" s="63">
        <f>IF($B33='Forecast 1'!$B33,INDEX('Forecast 1'!$1:$1048576,MATCH('Forecast 1'!$B33,'Forecast 1'!$B:$B,0),MATCH('Forecast 1'!H$7,'Forecast 1'!$7:$7,0)),"Mismatch")</f>
        <v>0</v>
      </c>
      <c r="I33" s="63">
        <f>IF($B33='Forecast 1'!$B33,INDEX('Forecast 1'!$1:$1048576,MATCH('Forecast 1'!$B33,'Forecast 1'!$B:$B,0),MATCH('Forecast 1'!I$7,'Forecast 1'!$7:$7,0)),"Mismatch")</f>
        <v>0</v>
      </c>
      <c r="J33" s="63">
        <f>IF($B33='Forecast 1'!$B33,INDEX('Forecast 1'!$1:$1048576,MATCH('Forecast 1'!$B33,'Forecast 1'!$B:$B,0),MATCH('Forecast 1'!J$7,'Forecast 1'!$7:$7,0)),"Mismatch")</f>
        <v>-5000</v>
      </c>
      <c r="K33" s="63">
        <f>IF($B33='Forecast 1'!$B33,INDEX('Forecast 1'!$1:$1048576,MATCH('Forecast 1'!$B33,'Forecast 1'!$B:$B,0),MATCH('Forecast 1'!K$7,'Forecast 1'!$7:$7,0)),"Mismatch")</f>
        <v>0</v>
      </c>
      <c r="L33" s="63">
        <f>IF($B33='Forecast 1'!$B33,INDEX('Forecast 1'!$1:$1048576,MATCH('Forecast 1'!$B33,'Forecast 1'!$B:$B,0),MATCH('Forecast 1'!L$7,'Forecast 1'!$7:$7,0)),"Mismatch")</f>
        <v>0</v>
      </c>
      <c r="M33" s="63">
        <f>IF($B33='Forecast 1'!$B33,INDEX('Forecast 1'!$1:$1048576,MATCH('Forecast 1'!$B33,'Forecast 1'!$B:$B,0),MATCH('Forecast 1'!M$7,'Forecast 1'!$7:$7,0)),"Mismatch")</f>
        <v>0</v>
      </c>
      <c r="N33" s="63">
        <f>IF($B33='Forecast 1'!$B33,INDEX('Forecast 1'!$1:$1048576,MATCH('Forecast 1'!$B33,'Forecast 1'!$B:$B,0),MATCH('Forecast 1'!N$7,'Forecast 1'!$7:$7,0)),"Mismatch")</f>
        <v>-5000</v>
      </c>
      <c r="O33" s="63">
        <f>IF($B33='Forecast 1'!$B33,INDEX('Forecast 1'!$1:$1048576,MATCH('Forecast 1'!$B33,'Forecast 1'!$B:$B,0),MATCH('Forecast 1'!O$7,'Forecast 1'!$7:$7,0)),"Mismatch")</f>
        <v>0</v>
      </c>
      <c r="P33" s="63">
        <f>IF($B33='Forecast 1'!$B33,INDEX('Forecast 1'!$1:$1048576,MATCH('Forecast 1'!$B33,'Forecast 1'!$B:$B,0),MATCH('Forecast 1'!P$7,'Forecast 1'!$7:$7,0)),"Mismatch")</f>
        <v>0</v>
      </c>
      <c r="Q33" s="63">
        <f>IF($B33='Forecast 1'!$B33,INDEX('Forecast 1'!$1:$1048576,MATCH('Forecast 1'!$B33,'Forecast 1'!$B:$B,0),MATCH('Forecast 1'!Q$7,'Forecast 1'!$7:$7,0)),"Mismatch")</f>
        <v>0</v>
      </c>
      <c r="R33" s="63">
        <f>IF($B33='Forecast 1'!$B33,INDEX('Forecast 1'!$1:$1048576,MATCH('Forecast 1'!$B33,'Forecast 1'!$B:$B,0),MATCH('Forecast 1'!R$7,'Forecast 1'!$7:$7,0)),"Mismatch")</f>
        <v>-5000</v>
      </c>
      <c r="S33" s="63">
        <f>IF($B33='Forecast 1'!$B33,INDEX('Forecast 1'!$1:$1048576,MATCH('Forecast 1'!$B33,'Forecast 1'!$B:$B,0),MATCH('Forecast 1'!S$7,'Forecast 1'!$7:$7,0)),"Mismatch")</f>
        <v>0</v>
      </c>
      <c r="T33" s="63">
        <f>IF($B33='Forecast 1'!$B33,INDEX('Forecast 1'!$1:$1048576,MATCH('Forecast 1'!$B33,'Forecast 1'!$B:$B,0),MATCH('Forecast 1'!T$7,'Forecast 1'!$7:$7,0)),"Mismatch")</f>
        <v>0</v>
      </c>
      <c r="U33" s="63">
        <f>IF($B33='Forecast 1'!$B33,INDEX('Forecast 1'!$1:$1048576,MATCH('Forecast 1'!$B33,'Forecast 1'!$B:$B,0),MATCH('Forecast 1'!U$7,'Forecast 1'!$7:$7,0)),"Mismatch")</f>
        <v>0</v>
      </c>
      <c r="V33" s="63">
        <f>IF($B33='Forecast 1'!$B33,INDEX('Forecast 1'!$1:$1048576,MATCH('Forecast 1'!$B33,'Forecast 1'!$B:$B,0),MATCH('Forecast 1'!V$7,'Forecast 1'!$7:$7,0)),"Mismatch")</f>
        <v>-5000</v>
      </c>
    </row>
    <row r="34" spans="1:22" x14ac:dyDescent="0.2">
      <c r="A34" s="69"/>
      <c r="B34" s="23" t="s">
        <v>64</v>
      </c>
      <c r="C34" s="22" t="s">
        <v>56</v>
      </c>
      <c r="D34" s="63">
        <f>IF($B34='Forecast 1'!$B34,INDEX('Forecast 1'!$1:$1048576,MATCH('Forecast 1'!$B34,'Forecast 1'!$B:$B,0),MATCH('Forecast 1'!D$7,'Forecast 1'!$7:$7,0)),"Mismatch")</f>
        <v>0</v>
      </c>
      <c r="E34" s="63">
        <f>IF($B34='Forecast 1'!$B34,INDEX('Forecast 1'!$1:$1048576,MATCH('Forecast 1'!$B34,'Forecast 1'!$B:$B,0),MATCH('Forecast 1'!E$7,'Forecast 1'!$7:$7,0)),"Mismatch")</f>
        <v>0</v>
      </c>
      <c r="F34" s="63">
        <f>IF($B34='Forecast 1'!$B34,INDEX('Forecast 1'!$1:$1048576,MATCH('Forecast 1'!$B34,'Forecast 1'!$B:$B,0),MATCH('Forecast 1'!F$7,'Forecast 1'!$7:$7,0)),"Mismatch")</f>
        <v>0</v>
      </c>
      <c r="G34" s="63">
        <f>IF($B34='Forecast 1'!$B34,INDEX('Forecast 1'!$1:$1048576,MATCH('Forecast 1'!$B34,'Forecast 1'!$B:$B,0),MATCH('Forecast 1'!G$7,'Forecast 1'!$7:$7,0)),"Mismatch")</f>
        <v>0</v>
      </c>
      <c r="H34" s="63">
        <f>IF($B34='Forecast 1'!$B34,INDEX('Forecast 1'!$1:$1048576,MATCH('Forecast 1'!$B34,'Forecast 1'!$B:$B,0),MATCH('Forecast 1'!H$7,'Forecast 1'!$7:$7,0)),"Mismatch")</f>
        <v>0</v>
      </c>
      <c r="I34" s="63">
        <f>IF($B34='Forecast 1'!$B34,INDEX('Forecast 1'!$1:$1048576,MATCH('Forecast 1'!$B34,'Forecast 1'!$B:$B,0),MATCH('Forecast 1'!I$7,'Forecast 1'!$7:$7,0)),"Mismatch")</f>
        <v>0</v>
      </c>
      <c r="J34" s="63">
        <f>IF($B34='Forecast 1'!$B34,INDEX('Forecast 1'!$1:$1048576,MATCH('Forecast 1'!$B34,'Forecast 1'!$B:$B,0),MATCH('Forecast 1'!J$7,'Forecast 1'!$7:$7,0)),"Mismatch")</f>
        <v>0</v>
      </c>
      <c r="K34" s="63">
        <f>IF($B34='Forecast 1'!$B34,INDEX('Forecast 1'!$1:$1048576,MATCH('Forecast 1'!$B34,'Forecast 1'!$B:$B,0),MATCH('Forecast 1'!K$7,'Forecast 1'!$7:$7,0)),"Mismatch")</f>
        <v>0</v>
      </c>
      <c r="L34" s="63">
        <f>IF($B34='Forecast 1'!$B34,INDEX('Forecast 1'!$1:$1048576,MATCH('Forecast 1'!$B34,'Forecast 1'!$B:$B,0),MATCH('Forecast 1'!L$7,'Forecast 1'!$7:$7,0)),"Mismatch")</f>
        <v>0</v>
      </c>
      <c r="M34" s="63">
        <f>IF($B34='Forecast 1'!$B34,INDEX('Forecast 1'!$1:$1048576,MATCH('Forecast 1'!$B34,'Forecast 1'!$B:$B,0),MATCH('Forecast 1'!M$7,'Forecast 1'!$7:$7,0)),"Mismatch")</f>
        <v>0</v>
      </c>
      <c r="N34" s="63">
        <f>IF($B34='Forecast 1'!$B34,INDEX('Forecast 1'!$1:$1048576,MATCH('Forecast 1'!$B34,'Forecast 1'!$B:$B,0),MATCH('Forecast 1'!N$7,'Forecast 1'!$7:$7,0)),"Mismatch")</f>
        <v>0</v>
      </c>
      <c r="O34" s="63">
        <f>IF($B34='Forecast 1'!$B34,INDEX('Forecast 1'!$1:$1048576,MATCH('Forecast 1'!$B34,'Forecast 1'!$B:$B,0),MATCH('Forecast 1'!O$7,'Forecast 1'!$7:$7,0)),"Mismatch")</f>
        <v>0</v>
      </c>
      <c r="P34" s="63">
        <f>IF($B34='Forecast 1'!$B34,INDEX('Forecast 1'!$1:$1048576,MATCH('Forecast 1'!$B34,'Forecast 1'!$B:$B,0),MATCH('Forecast 1'!P$7,'Forecast 1'!$7:$7,0)),"Mismatch")</f>
        <v>0</v>
      </c>
      <c r="Q34" s="63">
        <f>IF($B34='Forecast 1'!$B34,INDEX('Forecast 1'!$1:$1048576,MATCH('Forecast 1'!$B34,'Forecast 1'!$B:$B,0),MATCH('Forecast 1'!Q$7,'Forecast 1'!$7:$7,0)),"Mismatch")</f>
        <v>0</v>
      </c>
      <c r="R34" s="63">
        <f>IF($B34='Forecast 1'!$B34,INDEX('Forecast 1'!$1:$1048576,MATCH('Forecast 1'!$B34,'Forecast 1'!$B:$B,0),MATCH('Forecast 1'!R$7,'Forecast 1'!$7:$7,0)),"Mismatch")</f>
        <v>0</v>
      </c>
      <c r="S34" s="63">
        <f>IF($B34='Forecast 1'!$B34,INDEX('Forecast 1'!$1:$1048576,MATCH('Forecast 1'!$B34,'Forecast 1'!$B:$B,0),MATCH('Forecast 1'!S$7,'Forecast 1'!$7:$7,0)),"Mismatch")</f>
        <v>0</v>
      </c>
      <c r="T34" s="63">
        <f>IF($B34='Forecast 1'!$B34,INDEX('Forecast 1'!$1:$1048576,MATCH('Forecast 1'!$B34,'Forecast 1'!$B:$B,0),MATCH('Forecast 1'!T$7,'Forecast 1'!$7:$7,0)),"Mismatch")</f>
        <v>0</v>
      </c>
      <c r="U34" s="63">
        <f>IF($B34='Forecast 1'!$B34,INDEX('Forecast 1'!$1:$1048576,MATCH('Forecast 1'!$B34,'Forecast 1'!$B:$B,0),MATCH('Forecast 1'!U$7,'Forecast 1'!$7:$7,0)),"Mismatch")</f>
        <v>0</v>
      </c>
      <c r="V34" s="63">
        <f>IF($B34='Forecast 1'!$B34,INDEX('Forecast 1'!$1:$1048576,MATCH('Forecast 1'!$B34,'Forecast 1'!$B:$B,0),MATCH('Forecast 1'!V$7,'Forecast 1'!$7:$7,0)),"Mismatch")</f>
        <v>0</v>
      </c>
    </row>
    <row r="35" spans="1:22" x14ac:dyDescent="0.2">
      <c r="A35" s="69"/>
      <c r="B35" s="23" t="s">
        <v>65</v>
      </c>
      <c r="C35" s="22" t="s">
        <v>56</v>
      </c>
      <c r="D35" s="63">
        <f>IF($B35='Forecast 1'!$B35,INDEX('Forecast 1'!$1:$1048576,MATCH('Forecast 1'!$B35,'Forecast 1'!$B:$B,0),MATCH('Forecast 1'!D$7,'Forecast 1'!$7:$7,0)),"Mismatch")</f>
        <v>0</v>
      </c>
      <c r="E35" s="63">
        <f>IF($B35='Forecast 1'!$B35,INDEX('Forecast 1'!$1:$1048576,MATCH('Forecast 1'!$B35,'Forecast 1'!$B:$B,0),MATCH('Forecast 1'!E$7,'Forecast 1'!$7:$7,0)),"Mismatch")</f>
        <v>0</v>
      </c>
      <c r="F35" s="63">
        <f>IF($B35='Forecast 1'!$B35,INDEX('Forecast 1'!$1:$1048576,MATCH('Forecast 1'!$B35,'Forecast 1'!$B:$B,0),MATCH('Forecast 1'!F$7,'Forecast 1'!$7:$7,0)),"Mismatch")</f>
        <v>0</v>
      </c>
      <c r="G35" s="63">
        <f>IF($B35='Forecast 1'!$B35,INDEX('Forecast 1'!$1:$1048576,MATCH('Forecast 1'!$B35,'Forecast 1'!$B:$B,0),MATCH('Forecast 1'!G$7,'Forecast 1'!$7:$7,0)),"Mismatch")</f>
        <v>0</v>
      </c>
      <c r="H35" s="63">
        <f>IF($B35='Forecast 1'!$B35,INDEX('Forecast 1'!$1:$1048576,MATCH('Forecast 1'!$B35,'Forecast 1'!$B:$B,0),MATCH('Forecast 1'!H$7,'Forecast 1'!$7:$7,0)),"Mismatch")</f>
        <v>0</v>
      </c>
      <c r="I35" s="63">
        <f>IF($B35='Forecast 1'!$B35,INDEX('Forecast 1'!$1:$1048576,MATCH('Forecast 1'!$B35,'Forecast 1'!$B:$B,0),MATCH('Forecast 1'!I$7,'Forecast 1'!$7:$7,0)),"Mismatch")</f>
        <v>0</v>
      </c>
      <c r="J35" s="63">
        <f>IF($B35='Forecast 1'!$B35,INDEX('Forecast 1'!$1:$1048576,MATCH('Forecast 1'!$B35,'Forecast 1'!$B:$B,0),MATCH('Forecast 1'!J$7,'Forecast 1'!$7:$7,0)),"Mismatch")</f>
        <v>0</v>
      </c>
      <c r="K35" s="63">
        <f>IF($B35='Forecast 1'!$B35,INDEX('Forecast 1'!$1:$1048576,MATCH('Forecast 1'!$B35,'Forecast 1'!$B:$B,0),MATCH('Forecast 1'!K$7,'Forecast 1'!$7:$7,0)),"Mismatch")</f>
        <v>0</v>
      </c>
      <c r="L35" s="63">
        <f>IF($B35='Forecast 1'!$B35,INDEX('Forecast 1'!$1:$1048576,MATCH('Forecast 1'!$B35,'Forecast 1'!$B:$B,0),MATCH('Forecast 1'!L$7,'Forecast 1'!$7:$7,0)),"Mismatch")</f>
        <v>0</v>
      </c>
      <c r="M35" s="63">
        <f>IF($B35='Forecast 1'!$B35,INDEX('Forecast 1'!$1:$1048576,MATCH('Forecast 1'!$B35,'Forecast 1'!$B:$B,0),MATCH('Forecast 1'!M$7,'Forecast 1'!$7:$7,0)),"Mismatch")</f>
        <v>0</v>
      </c>
      <c r="N35" s="63">
        <f>IF($B35='Forecast 1'!$B35,INDEX('Forecast 1'!$1:$1048576,MATCH('Forecast 1'!$B35,'Forecast 1'!$B:$B,0),MATCH('Forecast 1'!N$7,'Forecast 1'!$7:$7,0)),"Mismatch")</f>
        <v>0</v>
      </c>
      <c r="O35" s="63">
        <f>IF($B35='Forecast 1'!$B35,INDEX('Forecast 1'!$1:$1048576,MATCH('Forecast 1'!$B35,'Forecast 1'!$B:$B,0),MATCH('Forecast 1'!O$7,'Forecast 1'!$7:$7,0)),"Mismatch")</f>
        <v>0</v>
      </c>
      <c r="P35" s="63">
        <f>IF($B35='Forecast 1'!$B35,INDEX('Forecast 1'!$1:$1048576,MATCH('Forecast 1'!$B35,'Forecast 1'!$B:$B,0),MATCH('Forecast 1'!P$7,'Forecast 1'!$7:$7,0)),"Mismatch")</f>
        <v>0</v>
      </c>
      <c r="Q35" s="63">
        <f>IF($B35='Forecast 1'!$B35,INDEX('Forecast 1'!$1:$1048576,MATCH('Forecast 1'!$B35,'Forecast 1'!$B:$B,0),MATCH('Forecast 1'!Q$7,'Forecast 1'!$7:$7,0)),"Mismatch")</f>
        <v>0</v>
      </c>
      <c r="R35" s="63">
        <f>IF($B35='Forecast 1'!$B35,INDEX('Forecast 1'!$1:$1048576,MATCH('Forecast 1'!$B35,'Forecast 1'!$B:$B,0),MATCH('Forecast 1'!R$7,'Forecast 1'!$7:$7,0)),"Mismatch")</f>
        <v>0</v>
      </c>
      <c r="S35" s="63">
        <f>IF($B35='Forecast 1'!$B35,INDEX('Forecast 1'!$1:$1048576,MATCH('Forecast 1'!$B35,'Forecast 1'!$B:$B,0),MATCH('Forecast 1'!S$7,'Forecast 1'!$7:$7,0)),"Mismatch")</f>
        <v>0</v>
      </c>
      <c r="T35" s="63">
        <f>IF($B35='Forecast 1'!$B35,INDEX('Forecast 1'!$1:$1048576,MATCH('Forecast 1'!$B35,'Forecast 1'!$B:$B,0),MATCH('Forecast 1'!T$7,'Forecast 1'!$7:$7,0)),"Mismatch")</f>
        <v>0</v>
      </c>
      <c r="U35" s="63">
        <f>IF($B35='Forecast 1'!$B35,INDEX('Forecast 1'!$1:$1048576,MATCH('Forecast 1'!$B35,'Forecast 1'!$B:$B,0),MATCH('Forecast 1'!U$7,'Forecast 1'!$7:$7,0)),"Mismatch")</f>
        <v>0</v>
      </c>
      <c r="V35" s="63">
        <f>IF($B35='Forecast 1'!$B35,INDEX('Forecast 1'!$1:$1048576,MATCH('Forecast 1'!$B35,'Forecast 1'!$B:$B,0),MATCH('Forecast 1'!V$7,'Forecast 1'!$7:$7,0)),"Mismatch")</f>
        <v>0</v>
      </c>
    </row>
    <row r="36" spans="1:22" x14ac:dyDescent="0.2">
      <c r="A36" s="69"/>
      <c r="B36" s="23" t="s">
        <v>66</v>
      </c>
      <c r="C36" s="22" t="s">
        <v>56</v>
      </c>
      <c r="D36" s="63">
        <f>IF($B36='Forecast 1'!$B36,INDEX('Forecast 1'!$1:$1048576,MATCH('Forecast 1'!$B36,'Forecast 1'!$B:$B,0),MATCH('Forecast 1'!D$7,'Forecast 1'!$7:$7,0)),"Mismatch")</f>
        <v>0</v>
      </c>
      <c r="E36" s="63">
        <f>IF($B36='Forecast 1'!$B36,INDEX('Forecast 1'!$1:$1048576,MATCH('Forecast 1'!$B36,'Forecast 1'!$B:$B,0),MATCH('Forecast 1'!E$7,'Forecast 1'!$7:$7,0)),"Mismatch")</f>
        <v>0</v>
      </c>
      <c r="F36" s="63">
        <f>IF($B36='Forecast 1'!$B36,INDEX('Forecast 1'!$1:$1048576,MATCH('Forecast 1'!$B36,'Forecast 1'!$B:$B,0),MATCH('Forecast 1'!F$7,'Forecast 1'!$7:$7,0)),"Mismatch")</f>
        <v>0</v>
      </c>
      <c r="G36" s="63">
        <f>IF($B36='Forecast 1'!$B36,INDEX('Forecast 1'!$1:$1048576,MATCH('Forecast 1'!$B36,'Forecast 1'!$B:$B,0),MATCH('Forecast 1'!G$7,'Forecast 1'!$7:$7,0)),"Mismatch")</f>
        <v>0</v>
      </c>
      <c r="H36" s="63">
        <f>IF($B36='Forecast 1'!$B36,INDEX('Forecast 1'!$1:$1048576,MATCH('Forecast 1'!$B36,'Forecast 1'!$B:$B,0),MATCH('Forecast 1'!H$7,'Forecast 1'!$7:$7,0)),"Mismatch")</f>
        <v>0</v>
      </c>
      <c r="I36" s="63">
        <f>IF($B36='Forecast 1'!$B36,INDEX('Forecast 1'!$1:$1048576,MATCH('Forecast 1'!$B36,'Forecast 1'!$B:$B,0),MATCH('Forecast 1'!I$7,'Forecast 1'!$7:$7,0)),"Mismatch")</f>
        <v>0</v>
      </c>
      <c r="J36" s="63">
        <f>IF($B36='Forecast 1'!$B36,INDEX('Forecast 1'!$1:$1048576,MATCH('Forecast 1'!$B36,'Forecast 1'!$B:$B,0),MATCH('Forecast 1'!J$7,'Forecast 1'!$7:$7,0)),"Mismatch")</f>
        <v>0</v>
      </c>
      <c r="K36" s="63">
        <f>IF($B36='Forecast 1'!$B36,INDEX('Forecast 1'!$1:$1048576,MATCH('Forecast 1'!$B36,'Forecast 1'!$B:$B,0),MATCH('Forecast 1'!K$7,'Forecast 1'!$7:$7,0)),"Mismatch")</f>
        <v>0</v>
      </c>
      <c r="L36" s="63">
        <f>IF($B36='Forecast 1'!$B36,INDEX('Forecast 1'!$1:$1048576,MATCH('Forecast 1'!$B36,'Forecast 1'!$B:$B,0),MATCH('Forecast 1'!L$7,'Forecast 1'!$7:$7,0)),"Mismatch")</f>
        <v>0</v>
      </c>
      <c r="M36" s="63">
        <f>IF($B36='Forecast 1'!$B36,INDEX('Forecast 1'!$1:$1048576,MATCH('Forecast 1'!$B36,'Forecast 1'!$B:$B,0),MATCH('Forecast 1'!M$7,'Forecast 1'!$7:$7,0)),"Mismatch")</f>
        <v>0</v>
      </c>
      <c r="N36" s="63">
        <f>IF($B36='Forecast 1'!$B36,INDEX('Forecast 1'!$1:$1048576,MATCH('Forecast 1'!$B36,'Forecast 1'!$B:$B,0),MATCH('Forecast 1'!N$7,'Forecast 1'!$7:$7,0)),"Mismatch")</f>
        <v>0</v>
      </c>
      <c r="O36" s="63">
        <f>IF($B36='Forecast 1'!$B36,INDEX('Forecast 1'!$1:$1048576,MATCH('Forecast 1'!$B36,'Forecast 1'!$B:$B,0),MATCH('Forecast 1'!O$7,'Forecast 1'!$7:$7,0)),"Mismatch")</f>
        <v>0</v>
      </c>
      <c r="P36" s="63">
        <f>IF($B36='Forecast 1'!$B36,INDEX('Forecast 1'!$1:$1048576,MATCH('Forecast 1'!$B36,'Forecast 1'!$B:$B,0),MATCH('Forecast 1'!P$7,'Forecast 1'!$7:$7,0)),"Mismatch")</f>
        <v>0</v>
      </c>
      <c r="Q36" s="63">
        <f>IF($B36='Forecast 1'!$B36,INDEX('Forecast 1'!$1:$1048576,MATCH('Forecast 1'!$B36,'Forecast 1'!$B:$B,0),MATCH('Forecast 1'!Q$7,'Forecast 1'!$7:$7,0)),"Mismatch")</f>
        <v>0</v>
      </c>
      <c r="R36" s="63">
        <f>IF($B36='Forecast 1'!$B36,INDEX('Forecast 1'!$1:$1048576,MATCH('Forecast 1'!$B36,'Forecast 1'!$B:$B,0),MATCH('Forecast 1'!R$7,'Forecast 1'!$7:$7,0)),"Mismatch")</f>
        <v>0</v>
      </c>
      <c r="S36" s="63">
        <f>IF($B36='Forecast 1'!$B36,INDEX('Forecast 1'!$1:$1048576,MATCH('Forecast 1'!$B36,'Forecast 1'!$B:$B,0),MATCH('Forecast 1'!S$7,'Forecast 1'!$7:$7,0)),"Mismatch")</f>
        <v>0</v>
      </c>
      <c r="T36" s="63">
        <f>IF($B36='Forecast 1'!$B36,INDEX('Forecast 1'!$1:$1048576,MATCH('Forecast 1'!$B36,'Forecast 1'!$B:$B,0),MATCH('Forecast 1'!T$7,'Forecast 1'!$7:$7,0)),"Mismatch")</f>
        <v>0</v>
      </c>
      <c r="U36" s="63">
        <f>IF($B36='Forecast 1'!$B36,INDEX('Forecast 1'!$1:$1048576,MATCH('Forecast 1'!$B36,'Forecast 1'!$B:$B,0),MATCH('Forecast 1'!U$7,'Forecast 1'!$7:$7,0)),"Mismatch")</f>
        <v>0</v>
      </c>
      <c r="V36" s="63">
        <f>IF($B36='Forecast 1'!$B36,INDEX('Forecast 1'!$1:$1048576,MATCH('Forecast 1'!$B36,'Forecast 1'!$B:$B,0),MATCH('Forecast 1'!V$7,'Forecast 1'!$7:$7,0)),"Mismatch")</f>
        <v>0</v>
      </c>
    </row>
    <row r="37" spans="1:22" x14ac:dyDescent="0.2">
      <c r="A37" s="69"/>
      <c r="B37" s="23" t="s">
        <v>67</v>
      </c>
      <c r="C37" s="22" t="s">
        <v>56</v>
      </c>
      <c r="D37" s="63">
        <f>IF($B37='Forecast 1'!$B37,INDEX('Forecast 1'!$1:$1048576,MATCH('Forecast 1'!$B37,'Forecast 1'!$B:$B,0),MATCH('Forecast 1'!D$7,'Forecast 1'!$7:$7,0)),"Mismatch")</f>
        <v>0</v>
      </c>
      <c r="E37" s="63">
        <f>IF($B37='Forecast 1'!$B37,INDEX('Forecast 1'!$1:$1048576,MATCH('Forecast 1'!$B37,'Forecast 1'!$B:$B,0),MATCH('Forecast 1'!E$7,'Forecast 1'!$7:$7,0)),"Mismatch")</f>
        <v>0</v>
      </c>
      <c r="F37" s="63">
        <f>IF($B37='Forecast 1'!$B37,INDEX('Forecast 1'!$1:$1048576,MATCH('Forecast 1'!$B37,'Forecast 1'!$B:$B,0),MATCH('Forecast 1'!F$7,'Forecast 1'!$7:$7,0)),"Mismatch")</f>
        <v>0</v>
      </c>
      <c r="G37" s="63">
        <f>IF($B37='Forecast 1'!$B37,INDEX('Forecast 1'!$1:$1048576,MATCH('Forecast 1'!$B37,'Forecast 1'!$B:$B,0),MATCH('Forecast 1'!G$7,'Forecast 1'!$7:$7,0)),"Mismatch")</f>
        <v>0</v>
      </c>
      <c r="H37" s="63">
        <f>IF($B37='Forecast 1'!$B37,INDEX('Forecast 1'!$1:$1048576,MATCH('Forecast 1'!$B37,'Forecast 1'!$B:$B,0),MATCH('Forecast 1'!H$7,'Forecast 1'!$7:$7,0)),"Mismatch")</f>
        <v>0</v>
      </c>
      <c r="I37" s="63">
        <f>IF($B37='Forecast 1'!$B37,INDEX('Forecast 1'!$1:$1048576,MATCH('Forecast 1'!$B37,'Forecast 1'!$B:$B,0),MATCH('Forecast 1'!I$7,'Forecast 1'!$7:$7,0)),"Mismatch")</f>
        <v>0</v>
      </c>
      <c r="J37" s="63">
        <f>IF($B37='Forecast 1'!$B37,INDEX('Forecast 1'!$1:$1048576,MATCH('Forecast 1'!$B37,'Forecast 1'!$B:$B,0),MATCH('Forecast 1'!J$7,'Forecast 1'!$7:$7,0)),"Mismatch")</f>
        <v>0</v>
      </c>
      <c r="K37" s="63">
        <f>IF($B37='Forecast 1'!$B37,INDEX('Forecast 1'!$1:$1048576,MATCH('Forecast 1'!$B37,'Forecast 1'!$B:$B,0),MATCH('Forecast 1'!K$7,'Forecast 1'!$7:$7,0)),"Mismatch")</f>
        <v>0</v>
      </c>
      <c r="L37" s="63">
        <f>IF($B37='Forecast 1'!$B37,INDEX('Forecast 1'!$1:$1048576,MATCH('Forecast 1'!$B37,'Forecast 1'!$B:$B,0),MATCH('Forecast 1'!L$7,'Forecast 1'!$7:$7,0)),"Mismatch")</f>
        <v>0</v>
      </c>
      <c r="M37" s="63">
        <f>IF($B37='Forecast 1'!$B37,INDEX('Forecast 1'!$1:$1048576,MATCH('Forecast 1'!$B37,'Forecast 1'!$B:$B,0),MATCH('Forecast 1'!M$7,'Forecast 1'!$7:$7,0)),"Mismatch")</f>
        <v>0</v>
      </c>
      <c r="N37" s="63">
        <f>IF($B37='Forecast 1'!$B37,INDEX('Forecast 1'!$1:$1048576,MATCH('Forecast 1'!$B37,'Forecast 1'!$B:$B,0),MATCH('Forecast 1'!N$7,'Forecast 1'!$7:$7,0)),"Mismatch")</f>
        <v>0</v>
      </c>
      <c r="O37" s="63">
        <f>IF($B37='Forecast 1'!$B37,INDEX('Forecast 1'!$1:$1048576,MATCH('Forecast 1'!$B37,'Forecast 1'!$B:$B,0),MATCH('Forecast 1'!O$7,'Forecast 1'!$7:$7,0)),"Mismatch")</f>
        <v>0</v>
      </c>
      <c r="P37" s="63">
        <f>IF($B37='Forecast 1'!$B37,INDEX('Forecast 1'!$1:$1048576,MATCH('Forecast 1'!$B37,'Forecast 1'!$B:$B,0),MATCH('Forecast 1'!P$7,'Forecast 1'!$7:$7,0)),"Mismatch")</f>
        <v>0</v>
      </c>
      <c r="Q37" s="63">
        <f>IF($B37='Forecast 1'!$B37,INDEX('Forecast 1'!$1:$1048576,MATCH('Forecast 1'!$B37,'Forecast 1'!$B:$B,0),MATCH('Forecast 1'!Q$7,'Forecast 1'!$7:$7,0)),"Mismatch")</f>
        <v>0</v>
      </c>
      <c r="R37" s="63">
        <f>IF($B37='Forecast 1'!$B37,INDEX('Forecast 1'!$1:$1048576,MATCH('Forecast 1'!$B37,'Forecast 1'!$B:$B,0),MATCH('Forecast 1'!R$7,'Forecast 1'!$7:$7,0)),"Mismatch")</f>
        <v>0</v>
      </c>
      <c r="S37" s="63">
        <f>IF($B37='Forecast 1'!$B37,INDEX('Forecast 1'!$1:$1048576,MATCH('Forecast 1'!$B37,'Forecast 1'!$B:$B,0),MATCH('Forecast 1'!S$7,'Forecast 1'!$7:$7,0)),"Mismatch")</f>
        <v>0</v>
      </c>
      <c r="T37" s="63">
        <f>IF($B37='Forecast 1'!$B37,INDEX('Forecast 1'!$1:$1048576,MATCH('Forecast 1'!$B37,'Forecast 1'!$B:$B,0),MATCH('Forecast 1'!T$7,'Forecast 1'!$7:$7,0)),"Mismatch")</f>
        <v>0</v>
      </c>
      <c r="U37" s="63">
        <f>IF($B37='Forecast 1'!$B37,INDEX('Forecast 1'!$1:$1048576,MATCH('Forecast 1'!$B37,'Forecast 1'!$B:$B,0),MATCH('Forecast 1'!U$7,'Forecast 1'!$7:$7,0)),"Mismatch")</f>
        <v>0</v>
      </c>
      <c r="V37" s="63">
        <f>IF($B37='Forecast 1'!$B37,INDEX('Forecast 1'!$1:$1048576,MATCH('Forecast 1'!$B37,'Forecast 1'!$B:$B,0),MATCH('Forecast 1'!V$7,'Forecast 1'!$7:$7,0)),"Mismatch")</f>
        <v>0</v>
      </c>
    </row>
    <row r="38" spans="1:22" x14ac:dyDescent="0.2">
      <c r="A38" s="69"/>
      <c r="B38" s="23" t="s">
        <v>68</v>
      </c>
      <c r="C38" s="22" t="s">
        <v>54</v>
      </c>
      <c r="D38" s="63">
        <f>IF($B38='Forecast 1'!$B38,INDEX('Forecast 1'!$1:$1048576,MATCH('Forecast 1'!$B38,'Forecast 1'!$B:$B,0),MATCH('Forecast 1'!D$7,'Forecast 1'!$7:$7,0)),"Mismatch")</f>
        <v>-1110</v>
      </c>
      <c r="E38" s="63">
        <f>IF($B38='Forecast 1'!$B38,INDEX('Forecast 1'!$1:$1048576,MATCH('Forecast 1'!$B38,'Forecast 1'!$B:$B,0),MATCH('Forecast 1'!E$7,'Forecast 1'!$7:$7,0)),"Mismatch")</f>
        <v>-1150</v>
      </c>
      <c r="F38" s="63">
        <f>IF($B38='Forecast 1'!$B38,INDEX('Forecast 1'!$1:$1048576,MATCH('Forecast 1'!$B38,'Forecast 1'!$B:$B,0),MATCH('Forecast 1'!F$7,'Forecast 1'!$7:$7,0)),"Mismatch")</f>
        <v>-2100</v>
      </c>
      <c r="G38" s="63">
        <f>IF($B38='Forecast 1'!$B38,INDEX('Forecast 1'!$1:$1048576,MATCH('Forecast 1'!$B38,'Forecast 1'!$B:$B,0),MATCH('Forecast 1'!G$7,'Forecast 1'!$7:$7,0)),"Mismatch")</f>
        <v>0</v>
      </c>
      <c r="H38" s="63">
        <f>IF($B38='Forecast 1'!$B38,INDEX('Forecast 1'!$1:$1048576,MATCH('Forecast 1'!$B38,'Forecast 1'!$B:$B,0),MATCH('Forecast 1'!H$7,'Forecast 1'!$7:$7,0)),"Mismatch")</f>
        <v>-2130</v>
      </c>
      <c r="I38" s="63">
        <f>IF($B38='Forecast 1'!$B38,INDEX('Forecast 1'!$1:$1048576,MATCH('Forecast 1'!$B38,'Forecast 1'!$B:$B,0),MATCH('Forecast 1'!I$7,'Forecast 1'!$7:$7,0)),"Mismatch")</f>
        <v>0</v>
      </c>
      <c r="J38" s="63">
        <f>IF($B38='Forecast 1'!$B38,INDEX('Forecast 1'!$1:$1048576,MATCH('Forecast 1'!$B38,'Forecast 1'!$B:$B,0),MATCH('Forecast 1'!J$7,'Forecast 1'!$7:$7,0)),"Mismatch")</f>
        <v>-1081.6666666666667</v>
      </c>
      <c r="K38" s="63">
        <f>IF($B38='Forecast 1'!$B38,INDEX('Forecast 1'!$1:$1048576,MATCH('Forecast 1'!$B38,'Forecast 1'!$B:$B,0),MATCH('Forecast 1'!K$7,'Forecast 1'!$7:$7,0)),"Mismatch")</f>
        <v>-1076.9444444444446</v>
      </c>
      <c r="L38" s="63">
        <f>IF($B38='Forecast 1'!$B38,INDEX('Forecast 1'!$1:$1048576,MATCH('Forecast 1'!$B38,'Forecast 1'!$B:$B,0),MATCH('Forecast 1'!L$7,'Forecast 1'!$7:$7,0)),"Mismatch")</f>
        <v>-1064.7685185185185</v>
      </c>
      <c r="M38" s="63">
        <f>IF($B38='Forecast 1'!$B38,INDEX('Forecast 1'!$1:$1048576,MATCH('Forecast 1'!$B38,'Forecast 1'!$B:$B,0),MATCH('Forecast 1'!M$7,'Forecast 1'!$7:$7,0)),"Mismatch")</f>
        <v>-892.22993827160496</v>
      </c>
      <c r="N38" s="63">
        <f>IF($B38='Forecast 1'!$B38,INDEX('Forecast 1'!$1:$1048576,MATCH('Forecast 1'!$B38,'Forecast 1'!$B:$B,0),MATCH('Forecast 1'!N$7,'Forecast 1'!$7:$7,0)),"Mismatch")</f>
        <v>-1040.934927983539</v>
      </c>
      <c r="O38" s="63">
        <f>IF($B38='Forecast 1'!$B38,INDEX('Forecast 1'!$1:$1048576,MATCH('Forecast 1'!$B38,'Forecast 1'!$B:$B,0),MATCH('Forecast 1'!O$7,'Forecast 1'!$7:$7,0)),"Mismatch")</f>
        <v>-859.42408264746211</v>
      </c>
      <c r="P38" s="63">
        <f>IF($B38='Forecast 1'!$B38,INDEX('Forecast 1'!$1:$1048576,MATCH('Forecast 1'!$B38,'Forecast 1'!$B:$B,0),MATCH('Forecast 1'!P$7,'Forecast 1'!$7:$7,0)),"Mismatch")</f>
        <v>-1002.6614297553725</v>
      </c>
      <c r="Q38" s="63">
        <f>IF($B38='Forecast 1'!$B38,INDEX('Forecast 1'!$1:$1048576,MATCH('Forecast 1'!$B38,'Forecast 1'!$B:$B,0),MATCH('Forecast 1'!Q$7,'Forecast 1'!$7:$7,0)),"Mismatch")</f>
        <v>-989.49389027015695</v>
      </c>
      <c r="R38" s="63">
        <f>IF($B38='Forecast 1'!$B38,INDEX('Forecast 1'!$1:$1048576,MATCH('Forecast 1'!$B38,'Forecast 1'!$B:$B,0),MATCH('Forecast 1'!R$7,'Forecast 1'!$7:$7,0)),"Mismatch")</f>
        <v>-974.91879790777568</v>
      </c>
      <c r="S38" s="63">
        <f>IF($B38='Forecast 1'!$B38,INDEX('Forecast 1'!$1:$1048576,MATCH('Forecast 1'!$B38,'Forecast 1'!$B:$B,0),MATCH('Forecast 1'!S$7,'Forecast 1'!$7:$7,0)),"Mismatch")</f>
        <v>-959.9438444726519</v>
      </c>
      <c r="T38" s="63">
        <f>IF($B38='Forecast 1'!$B38,INDEX('Forecast 1'!$1:$1048576,MATCH('Forecast 1'!$B38,'Forecast 1'!$B:$B,0),MATCH('Forecast 1'!T$7,'Forecast 1'!$7:$7,0)),"Mismatch")</f>
        <v>-971.22949550615976</v>
      </c>
      <c r="U38" s="63">
        <f>IF($B38='Forecast 1'!$B38,INDEX('Forecast 1'!$1:$1048576,MATCH('Forecast 1'!$B38,'Forecast 1'!$B:$B,0),MATCH('Forecast 1'!U$7,'Forecast 1'!$7:$7,0)),"Mismatch")</f>
        <v>-959.61192342659649</v>
      </c>
      <c r="V38" s="63">
        <f>IF($B38='Forecast 1'!$B38,INDEX('Forecast 1'!$1:$1048576,MATCH('Forecast 1'!$B38,'Forecast 1'!$B:$B,0),MATCH('Forecast 1'!V$7,'Forecast 1'!$7:$7,0)),"Mismatch")</f>
        <v>-976.30989688978559</v>
      </c>
    </row>
    <row r="39" spans="1:22" x14ac:dyDescent="0.2">
      <c r="A39" s="69"/>
      <c r="B39" s="23" t="s">
        <v>69</v>
      </c>
      <c r="C39" s="22" t="s">
        <v>56</v>
      </c>
      <c r="D39" s="63">
        <f>IF($B39='Forecast 1'!$B39,INDEX('Forecast 1'!$1:$1048576,MATCH('Forecast 1'!$B39,'Forecast 1'!$B:$B,0),MATCH('Forecast 1'!D$7,'Forecast 1'!$7:$7,0)),"Mismatch")</f>
        <v>0</v>
      </c>
      <c r="E39" s="63">
        <f>IF($B39='Forecast 1'!$B39,INDEX('Forecast 1'!$1:$1048576,MATCH('Forecast 1'!$B39,'Forecast 1'!$B:$B,0),MATCH('Forecast 1'!E$7,'Forecast 1'!$7:$7,0)),"Mismatch")</f>
        <v>0</v>
      </c>
      <c r="F39" s="63">
        <f>IF($B39='Forecast 1'!$B39,INDEX('Forecast 1'!$1:$1048576,MATCH('Forecast 1'!$B39,'Forecast 1'!$B:$B,0),MATCH('Forecast 1'!F$7,'Forecast 1'!$7:$7,0)),"Mismatch")</f>
        <v>0</v>
      </c>
      <c r="G39" s="63">
        <f>IF($B39='Forecast 1'!$B39,INDEX('Forecast 1'!$1:$1048576,MATCH('Forecast 1'!$B39,'Forecast 1'!$B:$B,0),MATCH('Forecast 1'!G$7,'Forecast 1'!$7:$7,0)),"Mismatch")</f>
        <v>0</v>
      </c>
      <c r="H39" s="63">
        <f>IF($B39='Forecast 1'!$B39,INDEX('Forecast 1'!$1:$1048576,MATCH('Forecast 1'!$B39,'Forecast 1'!$B:$B,0),MATCH('Forecast 1'!H$7,'Forecast 1'!$7:$7,0)),"Mismatch")</f>
        <v>0</v>
      </c>
      <c r="I39" s="63">
        <f>IF($B39='Forecast 1'!$B39,INDEX('Forecast 1'!$1:$1048576,MATCH('Forecast 1'!$B39,'Forecast 1'!$B:$B,0),MATCH('Forecast 1'!I$7,'Forecast 1'!$7:$7,0)),"Mismatch")</f>
        <v>0</v>
      </c>
      <c r="J39" s="63">
        <f>IF($B39='Forecast 1'!$B39,INDEX('Forecast 1'!$1:$1048576,MATCH('Forecast 1'!$B39,'Forecast 1'!$B:$B,0),MATCH('Forecast 1'!J$7,'Forecast 1'!$7:$7,0)),"Mismatch")</f>
        <v>0</v>
      </c>
      <c r="K39" s="63">
        <f>IF($B39='Forecast 1'!$B39,INDEX('Forecast 1'!$1:$1048576,MATCH('Forecast 1'!$B39,'Forecast 1'!$B:$B,0),MATCH('Forecast 1'!K$7,'Forecast 1'!$7:$7,0)),"Mismatch")</f>
        <v>0</v>
      </c>
      <c r="L39" s="63">
        <f>IF($B39='Forecast 1'!$B39,INDEX('Forecast 1'!$1:$1048576,MATCH('Forecast 1'!$B39,'Forecast 1'!$B:$B,0),MATCH('Forecast 1'!L$7,'Forecast 1'!$7:$7,0)),"Mismatch")</f>
        <v>0</v>
      </c>
      <c r="M39" s="63">
        <f>IF($B39='Forecast 1'!$B39,INDEX('Forecast 1'!$1:$1048576,MATCH('Forecast 1'!$B39,'Forecast 1'!$B:$B,0),MATCH('Forecast 1'!M$7,'Forecast 1'!$7:$7,0)),"Mismatch")</f>
        <v>0</v>
      </c>
      <c r="N39" s="63">
        <f>IF($B39='Forecast 1'!$B39,INDEX('Forecast 1'!$1:$1048576,MATCH('Forecast 1'!$B39,'Forecast 1'!$B:$B,0),MATCH('Forecast 1'!N$7,'Forecast 1'!$7:$7,0)),"Mismatch")</f>
        <v>0</v>
      </c>
      <c r="O39" s="63">
        <f>IF($B39='Forecast 1'!$B39,INDEX('Forecast 1'!$1:$1048576,MATCH('Forecast 1'!$B39,'Forecast 1'!$B:$B,0),MATCH('Forecast 1'!O$7,'Forecast 1'!$7:$7,0)),"Mismatch")</f>
        <v>0</v>
      </c>
      <c r="P39" s="63">
        <f>IF($B39='Forecast 1'!$B39,INDEX('Forecast 1'!$1:$1048576,MATCH('Forecast 1'!$B39,'Forecast 1'!$B:$B,0),MATCH('Forecast 1'!P$7,'Forecast 1'!$7:$7,0)),"Mismatch")</f>
        <v>0</v>
      </c>
      <c r="Q39" s="63">
        <f>IF($B39='Forecast 1'!$B39,INDEX('Forecast 1'!$1:$1048576,MATCH('Forecast 1'!$B39,'Forecast 1'!$B:$B,0),MATCH('Forecast 1'!Q$7,'Forecast 1'!$7:$7,0)),"Mismatch")</f>
        <v>0</v>
      </c>
      <c r="R39" s="63">
        <f>IF($B39='Forecast 1'!$B39,INDEX('Forecast 1'!$1:$1048576,MATCH('Forecast 1'!$B39,'Forecast 1'!$B:$B,0),MATCH('Forecast 1'!R$7,'Forecast 1'!$7:$7,0)),"Mismatch")</f>
        <v>0</v>
      </c>
      <c r="S39" s="63">
        <f>IF($B39='Forecast 1'!$B39,INDEX('Forecast 1'!$1:$1048576,MATCH('Forecast 1'!$B39,'Forecast 1'!$B:$B,0),MATCH('Forecast 1'!S$7,'Forecast 1'!$7:$7,0)),"Mismatch")</f>
        <v>0</v>
      </c>
      <c r="T39" s="63">
        <f>IF($B39='Forecast 1'!$B39,INDEX('Forecast 1'!$1:$1048576,MATCH('Forecast 1'!$B39,'Forecast 1'!$B:$B,0),MATCH('Forecast 1'!T$7,'Forecast 1'!$7:$7,0)),"Mismatch")</f>
        <v>0</v>
      </c>
      <c r="U39" s="63">
        <f>IF($B39='Forecast 1'!$B39,INDEX('Forecast 1'!$1:$1048576,MATCH('Forecast 1'!$B39,'Forecast 1'!$B:$B,0),MATCH('Forecast 1'!U$7,'Forecast 1'!$7:$7,0)),"Mismatch")</f>
        <v>0</v>
      </c>
      <c r="V39" s="63">
        <f>IF($B39='Forecast 1'!$B39,INDEX('Forecast 1'!$1:$1048576,MATCH('Forecast 1'!$B39,'Forecast 1'!$B:$B,0),MATCH('Forecast 1'!V$7,'Forecast 1'!$7:$7,0)),"Mismatch")</f>
        <v>0</v>
      </c>
    </row>
    <row r="40" spans="1:22" x14ac:dyDescent="0.2">
      <c r="A40" s="69"/>
      <c r="B40" s="23" t="s">
        <v>70</v>
      </c>
      <c r="C40" s="22" t="s">
        <v>56</v>
      </c>
      <c r="D40" s="63">
        <f>IF($B40='Forecast 1'!$B40,INDEX('Forecast 1'!$1:$1048576,MATCH('Forecast 1'!$B40,'Forecast 1'!$B:$B,0),MATCH('Forecast 1'!D$7,'Forecast 1'!$7:$7,0)),"Mismatch")</f>
        <v>0</v>
      </c>
      <c r="E40" s="63">
        <f>IF($B40='Forecast 1'!$B40,INDEX('Forecast 1'!$1:$1048576,MATCH('Forecast 1'!$B40,'Forecast 1'!$B:$B,0),MATCH('Forecast 1'!E$7,'Forecast 1'!$7:$7,0)),"Mismatch")</f>
        <v>0</v>
      </c>
      <c r="F40" s="63">
        <f>IF($B40='Forecast 1'!$B40,INDEX('Forecast 1'!$1:$1048576,MATCH('Forecast 1'!$B40,'Forecast 1'!$B:$B,0),MATCH('Forecast 1'!F$7,'Forecast 1'!$7:$7,0)),"Mismatch")</f>
        <v>0</v>
      </c>
      <c r="G40" s="63">
        <f>IF($B40='Forecast 1'!$B40,INDEX('Forecast 1'!$1:$1048576,MATCH('Forecast 1'!$B40,'Forecast 1'!$B:$B,0),MATCH('Forecast 1'!G$7,'Forecast 1'!$7:$7,0)),"Mismatch")</f>
        <v>0</v>
      </c>
      <c r="H40" s="63">
        <f>IF($B40='Forecast 1'!$B40,INDEX('Forecast 1'!$1:$1048576,MATCH('Forecast 1'!$B40,'Forecast 1'!$B:$B,0),MATCH('Forecast 1'!H$7,'Forecast 1'!$7:$7,0)),"Mismatch")</f>
        <v>0</v>
      </c>
      <c r="I40" s="63">
        <f>IF($B40='Forecast 1'!$B40,INDEX('Forecast 1'!$1:$1048576,MATCH('Forecast 1'!$B40,'Forecast 1'!$B:$B,0),MATCH('Forecast 1'!I$7,'Forecast 1'!$7:$7,0)),"Mismatch")</f>
        <v>0</v>
      </c>
      <c r="J40" s="63">
        <f>IF($B40='Forecast 1'!$B40,INDEX('Forecast 1'!$1:$1048576,MATCH('Forecast 1'!$B40,'Forecast 1'!$B:$B,0),MATCH('Forecast 1'!J$7,'Forecast 1'!$7:$7,0)),"Mismatch")</f>
        <v>0</v>
      </c>
      <c r="K40" s="63">
        <f>IF($B40='Forecast 1'!$B40,INDEX('Forecast 1'!$1:$1048576,MATCH('Forecast 1'!$B40,'Forecast 1'!$B:$B,0),MATCH('Forecast 1'!K$7,'Forecast 1'!$7:$7,0)),"Mismatch")</f>
        <v>0</v>
      </c>
      <c r="L40" s="63">
        <f>IF($B40='Forecast 1'!$B40,INDEX('Forecast 1'!$1:$1048576,MATCH('Forecast 1'!$B40,'Forecast 1'!$B:$B,0),MATCH('Forecast 1'!L$7,'Forecast 1'!$7:$7,0)),"Mismatch")</f>
        <v>0</v>
      </c>
      <c r="M40" s="63">
        <f>IF($B40='Forecast 1'!$B40,INDEX('Forecast 1'!$1:$1048576,MATCH('Forecast 1'!$B40,'Forecast 1'!$B:$B,0),MATCH('Forecast 1'!M$7,'Forecast 1'!$7:$7,0)),"Mismatch")</f>
        <v>0</v>
      </c>
      <c r="N40" s="63">
        <f>IF($B40='Forecast 1'!$B40,INDEX('Forecast 1'!$1:$1048576,MATCH('Forecast 1'!$B40,'Forecast 1'!$B:$B,0),MATCH('Forecast 1'!N$7,'Forecast 1'!$7:$7,0)),"Mismatch")</f>
        <v>0</v>
      </c>
      <c r="O40" s="63">
        <f>IF($B40='Forecast 1'!$B40,INDEX('Forecast 1'!$1:$1048576,MATCH('Forecast 1'!$B40,'Forecast 1'!$B:$B,0),MATCH('Forecast 1'!O$7,'Forecast 1'!$7:$7,0)),"Mismatch")</f>
        <v>0</v>
      </c>
      <c r="P40" s="63">
        <f>IF($B40='Forecast 1'!$B40,INDEX('Forecast 1'!$1:$1048576,MATCH('Forecast 1'!$B40,'Forecast 1'!$B:$B,0),MATCH('Forecast 1'!P$7,'Forecast 1'!$7:$7,0)),"Mismatch")</f>
        <v>0</v>
      </c>
      <c r="Q40" s="63">
        <f>IF($B40='Forecast 1'!$B40,INDEX('Forecast 1'!$1:$1048576,MATCH('Forecast 1'!$B40,'Forecast 1'!$B:$B,0),MATCH('Forecast 1'!Q$7,'Forecast 1'!$7:$7,0)),"Mismatch")</f>
        <v>0</v>
      </c>
      <c r="R40" s="63">
        <f>IF($B40='Forecast 1'!$B40,INDEX('Forecast 1'!$1:$1048576,MATCH('Forecast 1'!$B40,'Forecast 1'!$B:$B,0),MATCH('Forecast 1'!R$7,'Forecast 1'!$7:$7,0)),"Mismatch")</f>
        <v>0</v>
      </c>
      <c r="S40" s="63">
        <f>IF($B40='Forecast 1'!$B40,INDEX('Forecast 1'!$1:$1048576,MATCH('Forecast 1'!$B40,'Forecast 1'!$B:$B,0),MATCH('Forecast 1'!S$7,'Forecast 1'!$7:$7,0)),"Mismatch")</f>
        <v>0</v>
      </c>
      <c r="T40" s="63">
        <f>IF($B40='Forecast 1'!$B40,INDEX('Forecast 1'!$1:$1048576,MATCH('Forecast 1'!$B40,'Forecast 1'!$B:$B,0),MATCH('Forecast 1'!T$7,'Forecast 1'!$7:$7,0)),"Mismatch")</f>
        <v>0</v>
      </c>
      <c r="U40" s="63">
        <f>IF($B40='Forecast 1'!$B40,INDEX('Forecast 1'!$1:$1048576,MATCH('Forecast 1'!$B40,'Forecast 1'!$B:$B,0),MATCH('Forecast 1'!U$7,'Forecast 1'!$7:$7,0)),"Mismatch")</f>
        <v>0</v>
      </c>
      <c r="V40" s="63">
        <f>IF($B40='Forecast 1'!$B40,INDEX('Forecast 1'!$1:$1048576,MATCH('Forecast 1'!$B40,'Forecast 1'!$B:$B,0),MATCH('Forecast 1'!V$7,'Forecast 1'!$7:$7,0)),"Mismatch")</f>
        <v>0</v>
      </c>
    </row>
    <row r="41" spans="1:22" x14ac:dyDescent="0.2">
      <c r="A41" s="69"/>
      <c r="B41" s="23" t="s">
        <v>71</v>
      </c>
      <c r="C41" s="22" t="s">
        <v>56</v>
      </c>
      <c r="D41" s="63">
        <f>IF($B41='Forecast 1'!$B41,INDEX('Forecast 1'!$1:$1048576,MATCH('Forecast 1'!$B41,'Forecast 1'!$B:$B,0),MATCH('Forecast 1'!D$7,'Forecast 1'!$7:$7,0)),"Mismatch")</f>
        <v>0</v>
      </c>
      <c r="E41" s="63">
        <f>IF($B41='Forecast 1'!$B41,INDEX('Forecast 1'!$1:$1048576,MATCH('Forecast 1'!$B41,'Forecast 1'!$B:$B,0),MATCH('Forecast 1'!E$7,'Forecast 1'!$7:$7,0)),"Mismatch")</f>
        <v>0</v>
      </c>
      <c r="F41" s="63">
        <f>IF($B41='Forecast 1'!$B41,INDEX('Forecast 1'!$1:$1048576,MATCH('Forecast 1'!$B41,'Forecast 1'!$B:$B,0),MATCH('Forecast 1'!F$7,'Forecast 1'!$7:$7,0)),"Mismatch")</f>
        <v>0</v>
      </c>
      <c r="G41" s="63">
        <f>IF($B41='Forecast 1'!$B41,INDEX('Forecast 1'!$1:$1048576,MATCH('Forecast 1'!$B41,'Forecast 1'!$B:$B,0),MATCH('Forecast 1'!G$7,'Forecast 1'!$7:$7,0)),"Mismatch")</f>
        <v>0</v>
      </c>
      <c r="H41" s="63">
        <f>IF($B41='Forecast 1'!$B41,INDEX('Forecast 1'!$1:$1048576,MATCH('Forecast 1'!$B41,'Forecast 1'!$B:$B,0),MATCH('Forecast 1'!H$7,'Forecast 1'!$7:$7,0)),"Mismatch")</f>
        <v>0</v>
      </c>
      <c r="I41" s="63">
        <f>IF($B41='Forecast 1'!$B41,INDEX('Forecast 1'!$1:$1048576,MATCH('Forecast 1'!$B41,'Forecast 1'!$B:$B,0),MATCH('Forecast 1'!I$7,'Forecast 1'!$7:$7,0)),"Mismatch")</f>
        <v>0</v>
      </c>
      <c r="J41" s="63">
        <f>IF($B41='Forecast 1'!$B41,INDEX('Forecast 1'!$1:$1048576,MATCH('Forecast 1'!$B41,'Forecast 1'!$B:$B,0),MATCH('Forecast 1'!J$7,'Forecast 1'!$7:$7,0)),"Mismatch")</f>
        <v>0</v>
      </c>
      <c r="K41" s="63">
        <f>IF($B41='Forecast 1'!$B41,INDEX('Forecast 1'!$1:$1048576,MATCH('Forecast 1'!$B41,'Forecast 1'!$B:$B,0),MATCH('Forecast 1'!K$7,'Forecast 1'!$7:$7,0)),"Mismatch")</f>
        <v>0</v>
      </c>
      <c r="L41" s="63">
        <f>IF($B41='Forecast 1'!$B41,INDEX('Forecast 1'!$1:$1048576,MATCH('Forecast 1'!$B41,'Forecast 1'!$B:$B,0),MATCH('Forecast 1'!L$7,'Forecast 1'!$7:$7,0)),"Mismatch")</f>
        <v>0</v>
      </c>
      <c r="M41" s="63">
        <f>IF($B41='Forecast 1'!$B41,INDEX('Forecast 1'!$1:$1048576,MATCH('Forecast 1'!$B41,'Forecast 1'!$B:$B,0),MATCH('Forecast 1'!M$7,'Forecast 1'!$7:$7,0)),"Mismatch")</f>
        <v>0</v>
      </c>
      <c r="N41" s="63">
        <f>IF($B41='Forecast 1'!$B41,INDEX('Forecast 1'!$1:$1048576,MATCH('Forecast 1'!$B41,'Forecast 1'!$B:$B,0),MATCH('Forecast 1'!N$7,'Forecast 1'!$7:$7,0)),"Mismatch")</f>
        <v>0</v>
      </c>
      <c r="O41" s="63">
        <f>IF($B41='Forecast 1'!$B41,INDEX('Forecast 1'!$1:$1048576,MATCH('Forecast 1'!$B41,'Forecast 1'!$B:$B,0),MATCH('Forecast 1'!O$7,'Forecast 1'!$7:$7,0)),"Mismatch")</f>
        <v>0</v>
      </c>
      <c r="P41" s="63">
        <f>IF($B41='Forecast 1'!$B41,INDEX('Forecast 1'!$1:$1048576,MATCH('Forecast 1'!$B41,'Forecast 1'!$B:$B,0),MATCH('Forecast 1'!P$7,'Forecast 1'!$7:$7,0)),"Mismatch")</f>
        <v>0</v>
      </c>
      <c r="Q41" s="63">
        <f>IF($B41='Forecast 1'!$B41,INDEX('Forecast 1'!$1:$1048576,MATCH('Forecast 1'!$B41,'Forecast 1'!$B:$B,0),MATCH('Forecast 1'!Q$7,'Forecast 1'!$7:$7,0)),"Mismatch")</f>
        <v>0</v>
      </c>
      <c r="R41" s="63">
        <f>IF($B41='Forecast 1'!$B41,INDEX('Forecast 1'!$1:$1048576,MATCH('Forecast 1'!$B41,'Forecast 1'!$B:$B,0),MATCH('Forecast 1'!R$7,'Forecast 1'!$7:$7,0)),"Mismatch")</f>
        <v>0</v>
      </c>
      <c r="S41" s="63">
        <f>IF($B41='Forecast 1'!$B41,INDEX('Forecast 1'!$1:$1048576,MATCH('Forecast 1'!$B41,'Forecast 1'!$B:$B,0),MATCH('Forecast 1'!S$7,'Forecast 1'!$7:$7,0)),"Mismatch")</f>
        <v>0</v>
      </c>
      <c r="T41" s="63">
        <f>IF($B41='Forecast 1'!$B41,INDEX('Forecast 1'!$1:$1048576,MATCH('Forecast 1'!$B41,'Forecast 1'!$B:$B,0),MATCH('Forecast 1'!T$7,'Forecast 1'!$7:$7,0)),"Mismatch")</f>
        <v>0</v>
      </c>
      <c r="U41" s="63">
        <f>IF($B41='Forecast 1'!$B41,INDEX('Forecast 1'!$1:$1048576,MATCH('Forecast 1'!$B41,'Forecast 1'!$B:$B,0),MATCH('Forecast 1'!U$7,'Forecast 1'!$7:$7,0)),"Mismatch")</f>
        <v>0</v>
      </c>
      <c r="V41" s="63">
        <f>IF($B41='Forecast 1'!$B41,INDEX('Forecast 1'!$1:$1048576,MATCH('Forecast 1'!$B41,'Forecast 1'!$B:$B,0),MATCH('Forecast 1'!V$7,'Forecast 1'!$7:$7,0)),"Mismatch")</f>
        <v>0</v>
      </c>
    </row>
    <row r="42" spans="1:22" x14ac:dyDescent="0.2">
      <c r="A42" s="69"/>
      <c r="B42" s="23" t="s">
        <v>72</v>
      </c>
      <c r="C42" s="22" t="s">
        <v>73</v>
      </c>
      <c r="D42" s="63">
        <f>IF($B42='Forecast 1'!$B42,INDEX('Forecast 1'!$1:$1048576,MATCH('Forecast 1'!$B42,'Forecast 1'!$B:$B,0),MATCH('Forecast 1'!D$7,'Forecast 1'!$7:$7,0)),"Mismatch")</f>
        <v>0</v>
      </c>
      <c r="E42" s="63">
        <f>IF($B42='Forecast 1'!$B42,INDEX('Forecast 1'!$1:$1048576,MATCH('Forecast 1'!$B42,'Forecast 1'!$B:$B,0),MATCH('Forecast 1'!E$7,'Forecast 1'!$7:$7,0)),"Mismatch")</f>
        <v>-7660</v>
      </c>
      <c r="F42" s="63">
        <f>IF($B42='Forecast 1'!$B42,INDEX('Forecast 1'!$1:$1048576,MATCH('Forecast 1'!$B42,'Forecast 1'!$B:$B,0),MATCH('Forecast 1'!F$7,'Forecast 1'!$7:$7,0)),"Mismatch")</f>
        <v>0</v>
      </c>
      <c r="G42" s="63">
        <f>IF($B42='Forecast 1'!$B42,INDEX('Forecast 1'!$1:$1048576,MATCH('Forecast 1'!$B42,'Forecast 1'!$B:$B,0),MATCH('Forecast 1'!G$7,'Forecast 1'!$7:$7,0)),"Mismatch")</f>
        <v>0</v>
      </c>
      <c r="H42" s="63">
        <f>IF($B42='Forecast 1'!$B42,INDEX('Forecast 1'!$1:$1048576,MATCH('Forecast 1'!$B42,'Forecast 1'!$B:$B,0),MATCH('Forecast 1'!H$7,'Forecast 1'!$7:$7,0)),"Mismatch")</f>
        <v>0</v>
      </c>
      <c r="I42" s="63">
        <f>IF($B42='Forecast 1'!$B42,INDEX('Forecast 1'!$1:$1048576,MATCH('Forecast 1'!$B42,'Forecast 1'!$B:$B,0),MATCH('Forecast 1'!I$7,'Forecast 1'!$7:$7,0)),"Mismatch")</f>
        <v>-5840</v>
      </c>
      <c r="J42" s="63">
        <f>IF($B42='Forecast 1'!$B42,INDEX('Forecast 1'!$1:$1048576,MATCH('Forecast 1'!$B42,'Forecast 1'!$B:$B,0),MATCH('Forecast 1'!J$7,'Forecast 1'!$7:$7,0)),"Mismatch")</f>
        <v>0</v>
      </c>
      <c r="K42" s="63">
        <f>IF($B42='Forecast 1'!$B42,INDEX('Forecast 1'!$1:$1048576,MATCH('Forecast 1'!$B42,'Forecast 1'!$B:$B,0),MATCH('Forecast 1'!K$7,'Forecast 1'!$7:$7,0)),"Mismatch")</f>
        <v>0</v>
      </c>
      <c r="L42" s="63">
        <f>IF($B42='Forecast 1'!$B42,INDEX('Forecast 1'!$1:$1048576,MATCH('Forecast 1'!$B42,'Forecast 1'!$B:$B,0),MATCH('Forecast 1'!L$7,'Forecast 1'!$7:$7,0)),"Mismatch")</f>
        <v>0</v>
      </c>
      <c r="M42" s="63">
        <f>IF($B42='Forecast 1'!$B42,INDEX('Forecast 1'!$1:$1048576,MATCH('Forecast 1'!$B42,'Forecast 1'!$B:$B,0),MATCH('Forecast 1'!M$7,'Forecast 1'!$7:$7,0)),"Mismatch")</f>
        <v>0</v>
      </c>
      <c r="N42" s="63">
        <f>IF($B42='Forecast 1'!$B42,INDEX('Forecast 1'!$1:$1048576,MATCH('Forecast 1'!$B42,'Forecast 1'!$B:$B,0),MATCH('Forecast 1'!N$7,'Forecast 1'!$7:$7,0)),"Mismatch")</f>
        <v>-7000</v>
      </c>
      <c r="O42" s="63">
        <f>IF($B42='Forecast 1'!$B42,INDEX('Forecast 1'!$1:$1048576,MATCH('Forecast 1'!$B42,'Forecast 1'!$B:$B,0),MATCH('Forecast 1'!O$7,'Forecast 1'!$7:$7,0)),"Mismatch")</f>
        <v>0</v>
      </c>
      <c r="P42" s="63">
        <f>IF($B42='Forecast 1'!$B42,INDEX('Forecast 1'!$1:$1048576,MATCH('Forecast 1'!$B42,'Forecast 1'!$B:$B,0),MATCH('Forecast 1'!P$7,'Forecast 1'!$7:$7,0)),"Mismatch")</f>
        <v>0</v>
      </c>
      <c r="Q42" s="63">
        <f>IF($B42='Forecast 1'!$B42,INDEX('Forecast 1'!$1:$1048576,MATCH('Forecast 1'!$B42,'Forecast 1'!$B:$B,0),MATCH('Forecast 1'!Q$7,'Forecast 1'!$7:$7,0)),"Mismatch")</f>
        <v>0</v>
      </c>
      <c r="R42" s="63">
        <f>IF($B42='Forecast 1'!$B42,INDEX('Forecast 1'!$1:$1048576,MATCH('Forecast 1'!$B42,'Forecast 1'!$B:$B,0),MATCH('Forecast 1'!R$7,'Forecast 1'!$7:$7,0)),"Mismatch")</f>
        <v>-7000</v>
      </c>
      <c r="S42" s="63">
        <f>IF($B42='Forecast 1'!$B42,INDEX('Forecast 1'!$1:$1048576,MATCH('Forecast 1'!$B42,'Forecast 1'!$B:$B,0),MATCH('Forecast 1'!S$7,'Forecast 1'!$7:$7,0)),"Mismatch")</f>
        <v>0</v>
      </c>
      <c r="T42" s="63">
        <f>IF($B42='Forecast 1'!$B42,INDEX('Forecast 1'!$1:$1048576,MATCH('Forecast 1'!$B42,'Forecast 1'!$B:$B,0),MATCH('Forecast 1'!T$7,'Forecast 1'!$7:$7,0)),"Mismatch")</f>
        <v>0</v>
      </c>
      <c r="U42" s="63">
        <f>IF($B42='Forecast 1'!$B42,INDEX('Forecast 1'!$1:$1048576,MATCH('Forecast 1'!$B42,'Forecast 1'!$B:$B,0),MATCH('Forecast 1'!U$7,'Forecast 1'!$7:$7,0)),"Mismatch")</f>
        <v>0</v>
      </c>
      <c r="V42" s="63">
        <f>IF($B42='Forecast 1'!$B42,INDEX('Forecast 1'!$1:$1048576,MATCH('Forecast 1'!$B42,'Forecast 1'!$B:$B,0),MATCH('Forecast 1'!V$7,'Forecast 1'!$7:$7,0)),"Mismatch")</f>
        <v>-7000</v>
      </c>
    </row>
    <row r="43" spans="1:22" x14ac:dyDescent="0.2">
      <c r="A43" s="69"/>
      <c r="B43" s="23" t="s">
        <v>74</v>
      </c>
      <c r="C43" s="22" t="s">
        <v>54</v>
      </c>
      <c r="D43" s="63">
        <f>IF($B43='Forecast 1'!$B43,INDEX('Forecast 1'!$1:$1048576,MATCH('Forecast 1'!$B43,'Forecast 1'!$B:$B,0),MATCH('Forecast 1'!D$7,'Forecast 1'!$7:$7,0)),"Mismatch")</f>
        <v>-1270</v>
      </c>
      <c r="E43" s="63">
        <f>IF($B43='Forecast 1'!$B43,INDEX('Forecast 1'!$1:$1048576,MATCH('Forecast 1'!$B43,'Forecast 1'!$B:$B,0),MATCH('Forecast 1'!E$7,'Forecast 1'!$7:$7,0)),"Mismatch")</f>
        <v>-2570</v>
      </c>
      <c r="F43" s="63">
        <f>IF($B43='Forecast 1'!$B43,INDEX('Forecast 1'!$1:$1048576,MATCH('Forecast 1'!$B43,'Forecast 1'!$B:$B,0),MATCH('Forecast 1'!F$7,'Forecast 1'!$7:$7,0)),"Mismatch")</f>
        <v>0</v>
      </c>
      <c r="G43" s="63">
        <f>IF($B43='Forecast 1'!$B43,INDEX('Forecast 1'!$1:$1048576,MATCH('Forecast 1'!$B43,'Forecast 1'!$B:$B,0),MATCH('Forecast 1'!G$7,'Forecast 1'!$7:$7,0)),"Mismatch")</f>
        <v>0</v>
      </c>
      <c r="H43" s="63">
        <f>IF($B43='Forecast 1'!$B43,INDEX('Forecast 1'!$1:$1048576,MATCH('Forecast 1'!$B43,'Forecast 1'!$B:$B,0),MATCH('Forecast 1'!H$7,'Forecast 1'!$7:$7,0)),"Mismatch")</f>
        <v>0</v>
      </c>
      <c r="I43" s="63">
        <f>IF($B43='Forecast 1'!$B43,INDEX('Forecast 1'!$1:$1048576,MATCH('Forecast 1'!$B43,'Forecast 1'!$B:$B,0),MATCH('Forecast 1'!I$7,'Forecast 1'!$7:$7,0)),"Mismatch")</f>
        <v>-1270</v>
      </c>
      <c r="J43" s="63">
        <f>IF($B43='Forecast 1'!$B43,INDEX('Forecast 1'!$1:$1048576,MATCH('Forecast 1'!$B43,'Forecast 1'!$B:$B,0),MATCH('Forecast 1'!J$7,'Forecast 1'!$7:$7,0)),"Mismatch")</f>
        <v>-851.66666666666663</v>
      </c>
      <c r="K43" s="63">
        <f>IF($B43='Forecast 1'!$B43,INDEX('Forecast 1'!$1:$1048576,MATCH('Forecast 1'!$B43,'Forecast 1'!$B:$B,0),MATCH('Forecast 1'!K$7,'Forecast 1'!$7:$7,0)),"Mismatch")</f>
        <v>-781.94444444444446</v>
      </c>
      <c r="L43" s="63">
        <f>IF($B43='Forecast 1'!$B43,INDEX('Forecast 1'!$1:$1048576,MATCH('Forecast 1'!$B43,'Forecast 1'!$B:$B,0),MATCH('Forecast 1'!L$7,'Forecast 1'!$7:$7,0)),"Mismatch")</f>
        <v>-483.93518518518516</v>
      </c>
      <c r="M43" s="63">
        <f>IF($B43='Forecast 1'!$B43,INDEX('Forecast 1'!$1:$1048576,MATCH('Forecast 1'!$B43,'Forecast 1'!$B:$B,0),MATCH('Forecast 1'!M$7,'Forecast 1'!$7:$7,0)),"Mismatch")</f>
        <v>-564.59104938271605</v>
      </c>
      <c r="N43" s="63">
        <f>IF($B43='Forecast 1'!$B43,INDEX('Forecast 1'!$1:$1048576,MATCH('Forecast 1'!$B43,'Forecast 1'!$B:$B,0),MATCH('Forecast 1'!N$7,'Forecast 1'!$7:$7,0)),"Mismatch")</f>
        <v>-658.68955761316863</v>
      </c>
      <c r="O43" s="63">
        <f>IF($B43='Forecast 1'!$B43,INDEX('Forecast 1'!$1:$1048576,MATCH('Forecast 1'!$B43,'Forecast 1'!$B:$B,0),MATCH('Forecast 1'!O$7,'Forecast 1'!$7:$7,0)),"Mismatch")</f>
        <v>-768.47115054869676</v>
      </c>
      <c r="P43" s="63">
        <f>IF($B43='Forecast 1'!$B43,INDEX('Forecast 1'!$1:$1048576,MATCH('Forecast 1'!$B43,'Forecast 1'!$B:$B,0),MATCH('Forecast 1'!P$7,'Forecast 1'!$7:$7,0)),"Mismatch")</f>
        <v>-684.8830089734796</v>
      </c>
      <c r="Q43" s="63">
        <f>IF($B43='Forecast 1'!$B43,INDEX('Forecast 1'!$1:$1048576,MATCH('Forecast 1'!$B43,'Forecast 1'!$B:$B,0),MATCH('Forecast 1'!Q$7,'Forecast 1'!$7:$7,0)),"Mismatch")</f>
        <v>-657.08573269128181</v>
      </c>
      <c r="R43" s="63">
        <f>IF($B43='Forecast 1'!$B43,INDEX('Forecast 1'!$1:$1048576,MATCH('Forecast 1'!$B43,'Forecast 1'!$B:$B,0),MATCH('Forecast 1'!R$7,'Forecast 1'!$7:$7,0)),"Mismatch")</f>
        <v>-636.27594739908807</v>
      </c>
      <c r="S43" s="63">
        <f>IF($B43='Forecast 1'!$B43,INDEX('Forecast 1'!$1:$1048576,MATCH('Forecast 1'!$B43,'Forecast 1'!$B:$B,0),MATCH('Forecast 1'!S$7,'Forecast 1'!$7:$7,0)),"Mismatch")</f>
        <v>-661.66607443473856</v>
      </c>
      <c r="T43" s="63">
        <f>IF($B43='Forecast 1'!$B43,INDEX('Forecast 1'!$1:$1048576,MATCH('Forecast 1'!$B43,'Forecast 1'!$B:$B,0),MATCH('Forecast 1'!T$7,'Forecast 1'!$7:$7,0)),"Mismatch")</f>
        <v>-677.84524527674228</v>
      </c>
      <c r="U43" s="63">
        <f>IF($B43='Forecast 1'!$B43,INDEX('Forecast 1'!$1:$1048576,MATCH('Forecast 1'!$B43,'Forecast 1'!$B:$B,0),MATCH('Forecast 1'!U$7,'Forecast 1'!$7:$7,0)),"Mismatch")</f>
        <v>-681.03785988733796</v>
      </c>
      <c r="V43" s="63">
        <f>IF($B43='Forecast 1'!$B43,INDEX('Forecast 1'!$1:$1048576,MATCH('Forecast 1'!$B43,'Forecast 1'!$B:$B,0),MATCH('Forecast 1'!V$7,'Forecast 1'!$7:$7,0)),"Mismatch")</f>
        <v>-666.46564477711138</v>
      </c>
    </row>
    <row r="44" spans="1:22" x14ac:dyDescent="0.2">
      <c r="A44" s="69"/>
      <c r="D44" s="63"/>
      <c r="E44" s="63"/>
      <c r="F44" s="63"/>
      <c r="G44" s="63"/>
      <c r="H44" s="63"/>
      <c r="I44" s="63"/>
      <c r="J44" s="63"/>
      <c r="K44" s="63"/>
      <c r="L44" s="63"/>
      <c r="M44" s="63"/>
      <c r="N44" s="63"/>
      <c r="O44" s="63"/>
      <c r="P44" s="63"/>
      <c r="Q44" s="63"/>
      <c r="R44" s="63"/>
      <c r="S44" s="63"/>
      <c r="T44" s="63"/>
      <c r="U44" s="63"/>
      <c r="V44" s="63"/>
    </row>
    <row r="45" spans="1:22" x14ac:dyDescent="0.2">
      <c r="A45" s="69"/>
      <c r="D45" s="36"/>
      <c r="E45" s="36"/>
      <c r="F45" s="36"/>
      <c r="G45" s="36"/>
      <c r="H45" s="36"/>
      <c r="I45" s="36"/>
      <c r="J45" s="36"/>
      <c r="K45" s="36"/>
      <c r="L45" s="36"/>
      <c r="M45" s="36"/>
      <c r="N45" s="36"/>
      <c r="O45" s="36"/>
      <c r="P45" s="36"/>
      <c r="Q45" s="36"/>
      <c r="R45" s="36"/>
      <c r="S45" s="36"/>
      <c r="T45" s="36"/>
      <c r="U45" s="36"/>
      <c r="V45" s="36"/>
    </row>
    <row r="46" spans="1:22" x14ac:dyDescent="0.2">
      <c r="A46" s="69"/>
      <c r="B46" s="20" t="s">
        <v>75</v>
      </c>
      <c r="C46" s="21"/>
      <c r="D46" s="30">
        <f>SUM(D24:D45)</f>
        <v>-114140</v>
      </c>
      <c r="E46" s="30">
        <f t="shared" ref="E46:V46" si="8">SUM(E24:E45)</f>
        <v>-374900</v>
      </c>
      <c r="F46" s="30">
        <f t="shared" si="8"/>
        <v>-124910</v>
      </c>
      <c r="G46" s="30">
        <f t="shared" si="8"/>
        <v>-180410</v>
      </c>
      <c r="H46" s="30">
        <f t="shared" si="8"/>
        <v>-66850</v>
      </c>
      <c r="I46" s="30">
        <f t="shared" si="8"/>
        <v>-166200</v>
      </c>
      <c r="J46" s="30">
        <f t="shared" si="8"/>
        <v>-413930</v>
      </c>
      <c r="K46" s="30">
        <f t="shared" si="8"/>
        <v>-56198.333333333328</v>
      </c>
      <c r="L46" s="30">
        <f t="shared" si="8"/>
        <v>-195108.05555555556</v>
      </c>
      <c r="M46" s="30">
        <f t="shared" si="8"/>
        <v>-48342.731481481489</v>
      </c>
      <c r="N46" s="30">
        <f t="shared" si="8"/>
        <v>-116688.18672839507</v>
      </c>
      <c r="O46" s="30">
        <f t="shared" si="8"/>
        <v>-49941.217849794244</v>
      </c>
      <c r="P46" s="30">
        <f t="shared" si="8"/>
        <v>-51634.754158093281</v>
      </c>
      <c r="Q46" s="30">
        <f t="shared" si="8"/>
        <v>-50552.21318444216</v>
      </c>
      <c r="R46" s="30">
        <f t="shared" si="8"/>
        <v>-241411.19315962694</v>
      </c>
      <c r="S46" s="30">
        <f t="shared" si="8"/>
        <v>-176911.71609363885</v>
      </c>
      <c r="T46" s="30">
        <f t="shared" si="8"/>
        <v>-100289.8801956651</v>
      </c>
      <c r="U46" s="30">
        <f t="shared" si="8"/>
        <v>-140390.16244021012</v>
      </c>
      <c r="V46" s="30">
        <f t="shared" si="8"/>
        <v>-272464.98653861275</v>
      </c>
    </row>
    <row r="47" spans="1:22" x14ac:dyDescent="0.2">
      <c r="A47" s="69"/>
    </row>
    <row r="48" spans="1:22" x14ac:dyDescent="0.2">
      <c r="A48" s="69"/>
      <c r="B48" s="5" t="s">
        <v>76</v>
      </c>
      <c r="C48" s="5"/>
      <c r="D48" s="5"/>
      <c r="E48" s="5"/>
      <c r="F48" s="5"/>
      <c r="G48" s="5"/>
      <c r="H48" s="5"/>
      <c r="I48" s="5"/>
      <c r="J48" s="5"/>
      <c r="K48" s="5"/>
      <c r="L48" s="5"/>
      <c r="M48" s="5"/>
      <c r="N48" s="5"/>
      <c r="O48" s="5"/>
      <c r="P48" s="5"/>
      <c r="Q48" s="5"/>
      <c r="R48" s="5"/>
      <c r="S48" s="5"/>
      <c r="T48" s="5"/>
      <c r="U48" s="5"/>
      <c r="V48" s="5"/>
    </row>
    <row r="49" spans="1:22" x14ac:dyDescent="0.2">
      <c r="A49" s="69"/>
      <c r="B49" s="23" t="s">
        <v>77</v>
      </c>
      <c r="C49" s="22" t="s">
        <v>56</v>
      </c>
      <c r="D49" s="63">
        <f>IF($B49='Forecast 1'!$B49,INDEX('Forecast 1'!$1:$1048576,MATCH('Forecast 1'!$B49,'Forecast 1'!$B:$B,0),MATCH('Forecast 1'!D$7,'Forecast 1'!$7:$7,0)),"Mismatch")</f>
        <v>0</v>
      </c>
      <c r="E49" s="63">
        <f>IF($B49='Forecast 1'!$B49,INDEX('Forecast 1'!$1:$1048576,MATCH('Forecast 1'!$B49,'Forecast 1'!$B:$B,0),MATCH('Forecast 1'!E$7,'Forecast 1'!$7:$7,0)),"Mismatch")</f>
        <v>0</v>
      </c>
      <c r="F49" s="63">
        <f>IF($B49='Forecast 1'!$B49,INDEX('Forecast 1'!$1:$1048576,MATCH('Forecast 1'!$B49,'Forecast 1'!$B:$B,0),MATCH('Forecast 1'!F$7,'Forecast 1'!$7:$7,0)),"Mismatch")</f>
        <v>0</v>
      </c>
      <c r="G49" s="63">
        <f>IF($B49='Forecast 1'!$B49,INDEX('Forecast 1'!$1:$1048576,MATCH('Forecast 1'!$B49,'Forecast 1'!$B:$B,0),MATCH('Forecast 1'!G$7,'Forecast 1'!$7:$7,0)),"Mismatch")</f>
        <v>0</v>
      </c>
      <c r="H49" s="63">
        <f>IF($B49='Forecast 1'!$B49,INDEX('Forecast 1'!$1:$1048576,MATCH('Forecast 1'!$B49,'Forecast 1'!$B:$B,0),MATCH('Forecast 1'!H$7,'Forecast 1'!$7:$7,0)),"Mismatch")</f>
        <v>0</v>
      </c>
      <c r="I49" s="63">
        <f>IF($B49='Forecast 1'!$B49,INDEX('Forecast 1'!$1:$1048576,MATCH('Forecast 1'!$B49,'Forecast 1'!$B:$B,0),MATCH('Forecast 1'!I$7,'Forecast 1'!$7:$7,0)),"Mismatch")</f>
        <v>0</v>
      </c>
      <c r="J49" s="63">
        <f>IF($B49='Forecast 1'!$B49,INDEX('Forecast 1'!$1:$1048576,MATCH('Forecast 1'!$B49,'Forecast 1'!$B:$B,0),MATCH('Forecast 1'!J$7,'Forecast 1'!$7:$7,0)),"Mismatch")</f>
        <v>0</v>
      </c>
      <c r="K49" s="63">
        <f>IF($B49='Forecast 1'!$B49,INDEX('Forecast 1'!$1:$1048576,MATCH('Forecast 1'!$B49,'Forecast 1'!$B:$B,0),MATCH('Forecast 1'!K$7,'Forecast 1'!$7:$7,0)),"Mismatch")</f>
        <v>0</v>
      </c>
      <c r="L49" s="63">
        <f>IF($B49='Forecast 1'!$B49,INDEX('Forecast 1'!$1:$1048576,MATCH('Forecast 1'!$B49,'Forecast 1'!$B:$B,0),MATCH('Forecast 1'!L$7,'Forecast 1'!$7:$7,0)),"Mismatch")</f>
        <v>0</v>
      </c>
      <c r="M49" s="63">
        <f>IF($B49='Forecast 1'!$B49,INDEX('Forecast 1'!$1:$1048576,MATCH('Forecast 1'!$B49,'Forecast 1'!$B:$B,0),MATCH('Forecast 1'!M$7,'Forecast 1'!$7:$7,0)),"Mismatch")</f>
        <v>0</v>
      </c>
      <c r="N49" s="63">
        <f>IF($B49='Forecast 1'!$B49,INDEX('Forecast 1'!$1:$1048576,MATCH('Forecast 1'!$B49,'Forecast 1'!$B:$B,0),MATCH('Forecast 1'!N$7,'Forecast 1'!$7:$7,0)),"Mismatch")</f>
        <v>0</v>
      </c>
      <c r="O49" s="63">
        <f>IF($B49='Forecast 1'!$B49,INDEX('Forecast 1'!$1:$1048576,MATCH('Forecast 1'!$B49,'Forecast 1'!$B:$B,0),MATCH('Forecast 1'!O$7,'Forecast 1'!$7:$7,0)),"Mismatch")</f>
        <v>0</v>
      </c>
      <c r="P49" s="63">
        <f>IF($B49='Forecast 1'!$B49,INDEX('Forecast 1'!$1:$1048576,MATCH('Forecast 1'!$B49,'Forecast 1'!$B:$B,0),MATCH('Forecast 1'!P$7,'Forecast 1'!$7:$7,0)),"Mismatch")</f>
        <v>0</v>
      </c>
      <c r="Q49" s="63">
        <f>IF($B49='Forecast 1'!$B49,INDEX('Forecast 1'!$1:$1048576,MATCH('Forecast 1'!$B49,'Forecast 1'!$B:$B,0),MATCH('Forecast 1'!Q$7,'Forecast 1'!$7:$7,0)),"Mismatch")</f>
        <v>0</v>
      </c>
      <c r="R49" s="63">
        <f>IF($B49='Forecast 1'!$B49,INDEX('Forecast 1'!$1:$1048576,MATCH('Forecast 1'!$B49,'Forecast 1'!$B:$B,0),MATCH('Forecast 1'!R$7,'Forecast 1'!$7:$7,0)),"Mismatch")</f>
        <v>0</v>
      </c>
      <c r="S49" s="63">
        <f>IF($B49='Forecast 1'!$B49,INDEX('Forecast 1'!$1:$1048576,MATCH('Forecast 1'!$B49,'Forecast 1'!$B:$B,0),MATCH('Forecast 1'!S$7,'Forecast 1'!$7:$7,0)),"Mismatch")</f>
        <v>0</v>
      </c>
      <c r="T49" s="63">
        <f>IF($B49='Forecast 1'!$B49,INDEX('Forecast 1'!$1:$1048576,MATCH('Forecast 1'!$B49,'Forecast 1'!$B:$B,0),MATCH('Forecast 1'!T$7,'Forecast 1'!$7:$7,0)),"Mismatch")</f>
        <v>0</v>
      </c>
      <c r="U49" s="63">
        <f>IF($B49='Forecast 1'!$B49,INDEX('Forecast 1'!$1:$1048576,MATCH('Forecast 1'!$B49,'Forecast 1'!$B:$B,0),MATCH('Forecast 1'!U$7,'Forecast 1'!$7:$7,0)),"Mismatch")</f>
        <v>0</v>
      </c>
      <c r="V49" s="63">
        <f>IF($B49='Forecast 1'!$B49,INDEX('Forecast 1'!$1:$1048576,MATCH('Forecast 1'!$B49,'Forecast 1'!$B:$B,0),MATCH('Forecast 1'!V$7,'Forecast 1'!$7:$7,0)),"Mismatch")</f>
        <v>0</v>
      </c>
    </row>
    <row r="50" spans="1:22" x14ac:dyDescent="0.2">
      <c r="A50" s="69"/>
      <c r="B50" s="23" t="s">
        <v>78</v>
      </c>
      <c r="C50" s="22" t="s">
        <v>56</v>
      </c>
      <c r="D50" s="63">
        <f>IF($B50='Forecast 1'!$B50,INDEX('Forecast 1'!$1:$1048576,MATCH('Forecast 1'!$B50,'Forecast 1'!$B:$B,0),MATCH('Forecast 1'!D$7,'Forecast 1'!$7:$7,0)),"Mismatch")</f>
        <v>0</v>
      </c>
      <c r="E50" s="63">
        <f>IF($B50='Forecast 1'!$B50,INDEX('Forecast 1'!$1:$1048576,MATCH('Forecast 1'!$B50,'Forecast 1'!$B:$B,0),MATCH('Forecast 1'!E$7,'Forecast 1'!$7:$7,0)),"Mismatch")</f>
        <v>0</v>
      </c>
      <c r="F50" s="63">
        <f>IF($B50='Forecast 1'!$B50,INDEX('Forecast 1'!$1:$1048576,MATCH('Forecast 1'!$B50,'Forecast 1'!$B:$B,0),MATCH('Forecast 1'!F$7,'Forecast 1'!$7:$7,0)),"Mismatch")</f>
        <v>0</v>
      </c>
      <c r="G50" s="63">
        <f>IF($B50='Forecast 1'!$B50,INDEX('Forecast 1'!$1:$1048576,MATCH('Forecast 1'!$B50,'Forecast 1'!$B:$B,0),MATCH('Forecast 1'!G$7,'Forecast 1'!$7:$7,0)),"Mismatch")</f>
        <v>0</v>
      </c>
      <c r="H50" s="63">
        <f>IF($B50='Forecast 1'!$B50,INDEX('Forecast 1'!$1:$1048576,MATCH('Forecast 1'!$B50,'Forecast 1'!$B:$B,0),MATCH('Forecast 1'!H$7,'Forecast 1'!$7:$7,0)),"Mismatch")</f>
        <v>0</v>
      </c>
      <c r="I50" s="63">
        <f>IF($B50='Forecast 1'!$B50,INDEX('Forecast 1'!$1:$1048576,MATCH('Forecast 1'!$B50,'Forecast 1'!$B:$B,0),MATCH('Forecast 1'!I$7,'Forecast 1'!$7:$7,0)),"Mismatch")</f>
        <v>0</v>
      </c>
      <c r="J50" s="63">
        <f>IF($B50='Forecast 1'!$B50,INDEX('Forecast 1'!$1:$1048576,MATCH('Forecast 1'!$B50,'Forecast 1'!$B:$B,0),MATCH('Forecast 1'!J$7,'Forecast 1'!$7:$7,0)),"Mismatch")</f>
        <v>0</v>
      </c>
      <c r="K50" s="63">
        <f>IF($B50='Forecast 1'!$B50,INDEX('Forecast 1'!$1:$1048576,MATCH('Forecast 1'!$B50,'Forecast 1'!$B:$B,0),MATCH('Forecast 1'!K$7,'Forecast 1'!$7:$7,0)),"Mismatch")</f>
        <v>0</v>
      </c>
      <c r="L50" s="63">
        <f>IF($B50='Forecast 1'!$B50,INDEX('Forecast 1'!$1:$1048576,MATCH('Forecast 1'!$B50,'Forecast 1'!$B:$B,0),MATCH('Forecast 1'!L$7,'Forecast 1'!$7:$7,0)),"Mismatch")</f>
        <v>0</v>
      </c>
      <c r="M50" s="63">
        <f>IF($B50='Forecast 1'!$B50,INDEX('Forecast 1'!$1:$1048576,MATCH('Forecast 1'!$B50,'Forecast 1'!$B:$B,0),MATCH('Forecast 1'!M$7,'Forecast 1'!$7:$7,0)),"Mismatch")</f>
        <v>0</v>
      </c>
      <c r="N50" s="63">
        <f>IF($B50='Forecast 1'!$B50,INDEX('Forecast 1'!$1:$1048576,MATCH('Forecast 1'!$B50,'Forecast 1'!$B:$B,0),MATCH('Forecast 1'!N$7,'Forecast 1'!$7:$7,0)),"Mismatch")</f>
        <v>0</v>
      </c>
      <c r="O50" s="63">
        <f>IF($B50='Forecast 1'!$B50,INDEX('Forecast 1'!$1:$1048576,MATCH('Forecast 1'!$B50,'Forecast 1'!$B:$B,0),MATCH('Forecast 1'!O$7,'Forecast 1'!$7:$7,0)),"Mismatch")</f>
        <v>0</v>
      </c>
      <c r="P50" s="63">
        <f>IF($B50='Forecast 1'!$B50,INDEX('Forecast 1'!$1:$1048576,MATCH('Forecast 1'!$B50,'Forecast 1'!$B:$B,0),MATCH('Forecast 1'!P$7,'Forecast 1'!$7:$7,0)),"Mismatch")</f>
        <v>0</v>
      </c>
      <c r="Q50" s="63">
        <f>IF($B50='Forecast 1'!$B50,INDEX('Forecast 1'!$1:$1048576,MATCH('Forecast 1'!$B50,'Forecast 1'!$B:$B,0),MATCH('Forecast 1'!Q$7,'Forecast 1'!$7:$7,0)),"Mismatch")</f>
        <v>0</v>
      </c>
      <c r="R50" s="63">
        <f>IF($B50='Forecast 1'!$B50,INDEX('Forecast 1'!$1:$1048576,MATCH('Forecast 1'!$B50,'Forecast 1'!$B:$B,0),MATCH('Forecast 1'!R$7,'Forecast 1'!$7:$7,0)),"Mismatch")</f>
        <v>0</v>
      </c>
      <c r="S50" s="63">
        <f>IF($B50='Forecast 1'!$B50,INDEX('Forecast 1'!$1:$1048576,MATCH('Forecast 1'!$B50,'Forecast 1'!$B:$B,0),MATCH('Forecast 1'!S$7,'Forecast 1'!$7:$7,0)),"Mismatch")</f>
        <v>0</v>
      </c>
      <c r="T50" s="63">
        <f>IF($B50='Forecast 1'!$B50,INDEX('Forecast 1'!$1:$1048576,MATCH('Forecast 1'!$B50,'Forecast 1'!$B:$B,0),MATCH('Forecast 1'!T$7,'Forecast 1'!$7:$7,0)),"Mismatch")</f>
        <v>0</v>
      </c>
      <c r="U50" s="63">
        <f>IF($B50='Forecast 1'!$B50,INDEX('Forecast 1'!$1:$1048576,MATCH('Forecast 1'!$B50,'Forecast 1'!$B:$B,0),MATCH('Forecast 1'!U$7,'Forecast 1'!$7:$7,0)),"Mismatch")</f>
        <v>0</v>
      </c>
      <c r="V50" s="63">
        <f>IF($B50='Forecast 1'!$B50,INDEX('Forecast 1'!$1:$1048576,MATCH('Forecast 1'!$B50,'Forecast 1'!$B:$B,0),MATCH('Forecast 1'!V$7,'Forecast 1'!$7:$7,0)),"Mismatch")</f>
        <v>0</v>
      </c>
    </row>
    <row r="51" spans="1:22" x14ac:dyDescent="0.2">
      <c r="A51" s="69"/>
      <c r="B51" s="23" t="s">
        <v>79</v>
      </c>
      <c r="C51" s="22" t="s">
        <v>56</v>
      </c>
      <c r="D51" s="63">
        <f>IF($B51='Forecast 1'!$B51,INDEX('Forecast 1'!$1:$1048576,MATCH('Forecast 1'!$B51,'Forecast 1'!$B:$B,0),MATCH('Forecast 1'!D$7,'Forecast 1'!$7:$7,0)),"Mismatch")</f>
        <v>0</v>
      </c>
      <c r="E51" s="63">
        <f>IF($B51='Forecast 1'!$B51,INDEX('Forecast 1'!$1:$1048576,MATCH('Forecast 1'!$B51,'Forecast 1'!$B:$B,0),MATCH('Forecast 1'!E$7,'Forecast 1'!$7:$7,0)),"Mismatch")</f>
        <v>0</v>
      </c>
      <c r="F51" s="63">
        <f>IF($B51='Forecast 1'!$B51,INDEX('Forecast 1'!$1:$1048576,MATCH('Forecast 1'!$B51,'Forecast 1'!$B:$B,0),MATCH('Forecast 1'!F$7,'Forecast 1'!$7:$7,0)),"Mismatch")</f>
        <v>0</v>
      </c>
      <c r="G51" s="63">
        <f>IF($B51='Forecast 1'!$B51,INDEX('Forecast 1'!$1:$1048576,MATCH('Forecast 1'!$B51,'Forecast 1'!$B:$B,0),MATCH('Forecast 1'!G$7,'Forecast 1'!$7:$7,0)),"Mismatch")</f>
        <v>0</v>
      </c>
      <c r="H51" s="63">
        <f>IF($B51='Forecast 1'!$B51,INDEX('Forecast 1'!$1:$1048576,MATCH('Forecast 1'!$B51,'Forecast 1'!$B:$B,0),MATCH('Forecast 1'!H$7,'Forecast 1'!$7:$7,0)),"Mismatch")</f>
        <v>0</v>
      </c>
      <c r="I51" s="63">
        <f>IF($B51='Forecast 1'!$B51,INDEX('Forecast 1'!$1:$1048576,MATCH('Forecast 1'!$B51,'Forecast 1'!$B:$B,0),MATCH('Forecast 1'!I$7,'Forecast 1'!$7:$7,0)),"Mismatch")</f>
        <v>0</v>
      </c>
      <c r="J51" s="63">
        <f>IF($B51='Forecast 1'!$B51,INDEX('Forecast 1'!$1:$1048576,MATCH('Forecast 1'!$B51,'Forecast 1'!$B:$B,0),MATCH('Forecast 1'!J$7,'Forecast 1'!$7:$7,0)),"Mismatch")</f>
        <v>0</v>
      </c>
      <c r="K51" s="63">
        <f>IF($B51='Forecast 1'!$B51,INDEX('Forecast 1'!$1:$1048576,MATCH('Forecast 1'!$B51,'Forecast 1'!$B:$B,0),MATCH('Forecast 1'!K$7,'Forecast 1'!$7:$7,0)),"Mismatch")</f>
        <v>0</v>
      </c>
      <c r="L51" s="63">
        <f>IF($B51='Forecast 1'!$B51,INDEX('Forecast 1'!$1:$1048576,MATCH('Forecast 1'!$B51,'Forecast 1'!$B:$B,0),MATCH('Forecast 1'!L$7,'Forecast 1'!$7:$7,0)),"Mismatch")</f>
        <v>0</v>
      </c>
      <c r="M51" s="63">
        <f>IF($B51='Forecast 1'!$B51,INDEX('Forecast 1'!$1:$1048576,MATCH('Forecast 1'!$B51,'Forecast 1'!$B:$B,0),MATCH('Forecast 1'!M$7,'Forecast 1'!$7:$7,0)),"Mismatch")</f>
        <v>0</v>
      </c>
      <c r="N51" s="63">
        <f>IF($B51='Forecast 1'!$B51,INDEX('Forecast 1'!$1:$1048576,MATCH('Forecast 1'!$B51,'Forecast 1'!$B:$B,0),MATCH('Forecast 1'!N$7,'Forecast 1'!$7:$7,0)),"Mismatch")</f>
        <v>0</v>
      </c>
      <c r="O51" s="63">
        <f>IF($B51='Forecast 1'!$B51,INDEX('Forecast 1'!$1:$1048576,MATCH('Forecast 1'!$B51,'Forecast 1'!$B:$B,0),MATCH('Forecast 1'!O$7,'Forecast 1'!$7:$7,0)),"Mismatch")</f>
        <v>0</v>
      </c>
      <c r="P51" s="63">
        <f>IF($B51='Forecast 1'!$B51,INDEX('Forecast 1'!$1:$1048576,MATCH('Forecast 1'!$B51,'Forecast 1'!$B:$B,0),MATCH('Forecast 1'!P$7,'Forecast 1'!$7:$7,0)),"Mismatch")</f>
        <v>0</v>
      </c>
      <c r="Q51" s="63">
        <f>IF($B51='Forecast 1'!$B51,INDEX('Forecast 1'!$1:$1048576,MATCH('Forecast 1'!$B51,'Forecast 1'!$B:$B,0),MATCH('Forecast 1'!Q$7,'Forecast 1'!$7:$7,0)),"Mismatch")</f>
        <v>0</v>
      </c>
      <c r="R51" s="63">
        <f>IF($B51='Forecast 1'!$B51,INDEX('Forecast 1'!$1:$1048576,MATCH('Forecast 1'!$B51,'Forecast 1'!$B:$B,0),MATCH('Forecast 1'!R$7,'Forecast 1'!$7:$7,0)),"Mismatch")</f>
        <v>0</v>
      </c>
      <c r="S51" s="63">
        <f>IF($B51='Forecast 1'!$B51,INDEX('Forecast 1'!$1:$1048576,MATCH('Forecast 1'!$B51,'Forecast 1'!$B:$B,0),MATCH('Forecast 1'!S$7,'Forecast 1'!$7:$7,0)),"Mismatch")</f>
        <v>0</v>
      </c>
      <c r="T51" s="63">
        <f>IF($B51='Forecast 1'!$B51,INDEX('Forecast 1'!$1:$1048576,MATCH('Forecast 1'!$B51,'Forecast 1'!$B:$B,0),MATCH('Forecast 1'!T$7,'Forecast 1'!$7:$7,0)),"Mismatch")</f>
        <v>0</v>
      </c>
      <c r="U51" s="63">
        <f>IF($B51='Forecast 1'!$B51,INDEX('Forecast 1'!$1:$1048576,MATCH('Forecast 1'!$B51,'Forecast 1'!$B:$B,0),MATCH('Forecast 1'!U$7,'Forecast 1'!$7:$7,0)),"Mismatch")</f>
        <v>0</v>
      </c>
      <c r="V51" s="63">
        <f>IF($B51='Forecast 1'!$B51,INDEX('Forecast 1'!$1:$1048576,MATCH('Forecast 1'!$B51,'Forecast 1'!$B:$B,0),MATCH('Forecast 1'!V$7,'Forecast 1'!$7:$7,0)),"Mismatch")</f>
        <v>0</v>
      </c>
    </row>
    <row r="52" spans="1:22" x14ac:dyDescent="0.2">
      <c r="A52" s="69"/>
      <c r="B52" s="23" t="s">
        <v>80</v>
      </c>
      <c r="C52" s="22" t="s">
        <v>56</v>
      </c>
      <c r="D52" s="63">
        <f>IF($B52='Forecast 1'!$B52,INDEX('Forecast 1'!$1:$1048576,MATCH('Forecast 1'!$B52,'Forecast 1'!$B:$B,0),MATCH('Forecast 1'!D$7,'Forecast 1'!$7:$7,0)),"Mismatch")</f>
        <v>0</v>
      </c>
      <c r="E52" s="63">
        <f>IF($B52='Forecast 1'!$B52,INDEX('Forecast 1'!$1:$1048576,MATCH('Forecast 1'!$B52,'Forecast 1'!$B:$B,0),MATCH('Forecast 1'!E$7,'Forecast 1'!$7:$7,0)),"Mismatch")</f>
        <v>0</v>
      </c>
      <c r="F52" s="63">
        <f>IF($B52='Forecast 1'!$B52,INDEX('Forecast 1'!$1:$1048576,MATCH('Forecast 1'!$B52,'Forecast 1'!$B:$B,0),MATCH('Forecast 1'!F$7,'Forecast 1'!$7:$7,0)),"Mismatch")</f>
        <v>0</v>
      </c>
      <c r="G52" s="63">
        <f>IF($B52='Forecast 1'!$B52,INDEX('Forecast 1'!$1:$1048576,MATCH('Forecast 1'!$B52,'Forecast 1'!$B:$B,0),MATCH('Forecast 1'!G$7,'Forecast 1'!$7:$7,0)),"Mismatch")</f>
        <v>0</v>
      </c>
      <c r="H52" s="63">
        <f>IF($B52='Forecast 1'!$B52,INDEX('Forecast 1'!$1:$1048576,MATCH('Forecast 1'!$B52,'Forecast 1'!$B:$B,0),MATCH('Forecast 1'!H$7,'Forecast 1'!$7:$7,0)),"Mismatch")</f>
        <v>0</v>
      </c>
      <c r="I52" s="63">
        <f>IF($B52='Forecast 1'!$B52,INDEX('Forecast 1'!$1:$1048576,MATCH('Forecast 1'!$B52,'Forecast 1'!$B:$B,0),MATCH('Forecast 1'!I$7,'Forecast 1'!$7:$7,0)),"Mismatch")</f>
        <v>0</v>
      </c>
      <c r="J52" s="63">
        <f>IF($B52='Forecast 1'!$B52,INDEX('Forecast 1'!$1:$1048576,MATCH('Forecast 1'!$B52,'Forecast 1'!$B:$B,0),MATCH('Forecast 1'!J$7,'Forecast 1'!$7:$7,0)),"Mismatch")</f>
        <v>0</v>
      </c>
      <c r="K52" s="63">
        <f>IF($B52='Forecast 1'!$B52,INDEX('Forecast 1'!$1:$1048576,MATCH('Forecast 1'!$B52,'Forecast 1'!$B:$B,0),MATCH('Forecast 1'!K$7,'Forecast 1'!$7:$7,0)),"Mismatch")</f>
        <v>0</v>
      </c>
      <c r="L52" s="63">
        <f>IF($B52='Forecast 1'!$B52,INDEX('Forecast 1'!$1:$1048576,MATCH('Forecast 1'!$B52,'Forecast 1'!$B:$B,0),MATCH('Forecast 1'!L$7,'Forecast 1'!$7:$7,0)),"Mismatch")</f>
        <v>0</v>
      </c>
      <c r="M52" s="63">
        <f>IF($B52='Forecast 1'!$B52,INDEX('Forecast 1'!$1:$1048576,MATCH('Forecast 1'!$B52,'Forecast 1'!$B:$B,0),MATCH('Forecast 1'!M$7,'Forecast 1'!$7:$7,0)),"Mismatch")</f>
        <v>0</v>
      </c>
      <c r="N52" s="63">
        <f>IF($B52='Forecast 1'!$B52,INDEX('Forecast 1'!$1:$1048576,MATCH('Forecast 1'!$B52,'Forecast 1'!$B:$B,0),MATCH('Forecast 1'!N$7,'Forecast 1'!$7:$7,0)),"Mismatch")</f>
        <v>0</v>
      </c>
      <c r="O52" s="63">
        <f>IF($B52='Forecast 1'!$B52,INDEX('Forecast 1'!$1:$1048576,MATCH('Forecast 1'!$B52,'Forecast 1'!$B:$B,0),MATCH('Forecast 1'!O$7,'Forecast 1'!$7:$7,0)),"Mismatch")</f>
        <v>0</v>
      </c>
      <c r="P52" s="63">
        <f>IF($B52='Forecast 1'!$B52,INDEX('Forecast 1'!$1:$1048576,MATCH('Forecast 1'!$B52,'Forecast 1'!$B:$B,0),MATCH('Forecast 1'!P$7,'Forecast 1'!$7:$7,0)),"Mismatch")</f>
        <v>0</v>
      </c>
      <c r="Q52" s="63">
        <f>IF($B52='Forecast 1'!$B52,INDEX('Forecast 1'!$1:$1048576,MATCH('Forecast 1'!$B52,'Forecast 1'!$B:$B,0),MATCH('Forecast 1'!Q$7,'Forecast 1'!$7:$7,0)),"Mismatch")</f>
        <v>0</v>
      </c>
      <c r="R52" s="63">
        <f>IF($B52='Forecast 1'!$B52,INDEX('Forecast 1'!$1:$1048576,MATCH('Forecast 1'!$B52,'Forecast 1'!$B:$B,0),MATCH('Forecast 1'!R$7,'Forecast 1'!$7:$7,0)),"Mismatch")</f>
        <v>0</v>
      </c>
      <c r="S52" s="63">
        <f>IF($B52='Forecast 1'!$B52,INDEX('Forecast 1'!$1:$1048576,MATCH('Forecast 1'!$B52,'Forecast 1'!$B:$B,0),MATCH('Forecast 1'!S$7,'Forecast 1'!$7:$7,0)),"Mismatch")</f>
        <v>0</v>
      </c>
      <c r="T52" s="63">
        <f>IF($B52='Forecast 1'!$B52,INDEX('Forecast 1'!$1:$1048576,MATCH('Forecast 1'!$B52,'Forecast 1'!$B:$B,0),MATCH('Forecast 1'!T$7,'Forecast 1'!$7:$7,0)),"Mismatch")</f>
        <v>0</v>
      </c>
      <c r="U52" s="63">
        <f>IF($B52='Forecast 1'!$B52,INDEX('Forecast 1'!$1:$1048576,MATCH('Forecast 1'!$B52,'Forecast 1'!$B:$B,0),MATCH('Forecast 1'!U$7,'Forecast 1'!$7:$7,0)),"Mismatch")</f>
        <v>0</v>
      </c>
      <c r="V52" s="63">
        <f>IF($B52='Forecast 1'!$B52,INDEX('Forecast 1'!$1:$1048576,MATCH('Forecast 1'!$B52,'Forecast 1'!$B:$B,0),MATCH('Forecast 1'!V$7,'Forecast 1'!$7:$7,0)),"Mismatch")</f>
        <v>0</v>
      </c>
    </row>
    <row r="53" spans="1:22" x14ac:dyDescent="0.2">
      <c r="A53" s="69"/>
      <c r="B53" s="23" t="s">
        <v>81</v>
      </c>
      <c r="C53" s="22" t="s">
        <v>54</v>
      </c>
      <c r="D53" s="63">
        <f>IF($B53='Forecast 1'!$B53,INDEX('Forecast 1'!$1:$1048576,MATCH('Forecast 1'!$B53,'Forecast 1'!$B:$B,0),MATCH('Forecast 1'!D$7,'Forecast 1'!$7:$7,0)),"Mismatch")</f>
        <v>-21230</v>
      </c>
      <c r="E53" s="63">
        <f>IF($B53='Forecast 1'!$B53,INDEX('Forecast 1'!$1:$1048576,MATCH('Forecast 1'!$B53,'Forecast 1'!$B:$B,0),MATCH('Forecast 1'!E$7,'Forecast 1'!$7:$7,0)),"Mismatch")</f>
        <v>-24740</v>
      </c>
      <c r="F53" s="63">
        <f>IF($B53='Forecast 1'!$B53,INDEX('Forecast 1'!$1:$1048576,MATCH('Forecast 1'!$B53,'Forecast 1'!$B:$B,0),MATCH('Forecast 1'!F$7,'Forecast 1'!$7:$7,0)),"Mismatch")</f>
        <v>-20220</v>
      </c>
      <c r="G53" s="63">
        <f>IF($B53='Forecast 1'!$B53,INDEX('Forecast 1'!$1:$1048576,MATCH('Forecast 1'!$B53,'Forecast 1'!$B:$B,0),MATCH('Forecast 1'!G$7,'Forecast 1'!$7:$7,0)),"Mismatch")</f>
        <v>-14200</v>
      </c>
      <c r="H53" s="63">
        <f>IF($B53='Forecast 1'!$B53,INDEX('Forecast 1'!$1:$1048576,MATCH('Forecast 1'!$B53,'Forecast 1'!$B:$B,0),MATCH('Forecast 1'!H$7,'Forecast 1'!$7:$7,0)),"Mismatch")</f>
        <v>-12680</v>
      </c>
      <c r="I53" s="63">
        <f>IF($B53='Forecast 1'!$B53,INDEX('Forecast 1'!$1:$1048576,MATCH('Forecast 1'!$B53,'Forecast 1'!$B:$B,0),MATCH('Forecast 1'!I$7,'Forecast 1'!$7:$7,0)),"Mismatch")</f>
        <v>-12340</v>
      </c>
      <c r="J53" s="63">
        <f>IF($B53='Forecast 1'!$B53,INDEX('Forecast 1'!$1:$1048576,MATCH('Forecast 1'!$B53,'Forecast 1'!$B:$B,0),MATCH('Forecast 1'!J$7,'Forecast 1'!$7:$7,0)),"Mismatch")</f>
        <v>-17568.333333333332</v>
      </c>
      <c r="K53" s="63">
        <f>IF($B53='Forecast 1'!$B53,INDEX('Forecast 1'!$1:$1048576,MATCH('Forecast 1'!$B53,'Forecast 1'!$B:$B,0),MATCH('Forecast 1'!K$7,'Forecast 1'!$7:$7,0)),"Mismatch")</f>
        <v>-16958.055555555555</v>
      </c>
      <c r="L53" s="63">
        <f>IF($B53='Forecast 1'!$B53,INDEX('Forecast 1'!$1:$1048576,MATCH('Forecast 1'!$B53,'Forecast 1'!$B:$B,0),MATCH('Forecast 1'!L$7,'Forecast 1'!$7:$7,0)),"Mismatch")</f>
        <v>-15661.064814814812</v>
      </c>
      <c r="M53" s="63">
        <f>IF($B53='Forecast 1'!$B53,INDEX('Forecast 1'!$1:$1048576,MATCH('Forecast 1'!$B53,'Forecast 1'!$B:$B,0),MATCH('Forecast 1'!M$7,'Forecast 1'!$7:$7,0)),"Mismatch")</f>
        <v>-14901.242283950616</v>
      </c>
      <c r="N53" s="63">
        <f>IF($B53='Forecast 1'!$B53,INDEX('Forecast 1'!$1:$1048576,MATCH('Forecast 1'!$B53,'Forecast 1'!$B:$B,0),MATCH('Forecast 1'!N$7,'Forecast 1'!$7:$7,0)),"Mismatch")</f>
        <v>-15018.115997942385</v>
      </c>
      <c r="O53" s="63">
        <f>IF($B53='Forecast 1'!$B53,INDEX('Forecast 1'!$1:$1048576,MATCH('Forecast 1'!$B53,'Forecast 1'!$B:$B,0),MATCH('Forecast 1'!O$7,'Forecast 1'!$7:$7,0)),"Mismatch")</f>
        <v>-15407.801997599448</v>
      </c>
      <c r="P53" s="63">
        <f>IF($B53='Forecast 1'!$B53,INDEX('Forecast 1'!$1:$1048576,MATCH('Forecast 1'!$B53,'Forecast 1'!$B:$B,0),MATCH('Forecast 1'!P$7,'Forecast 1'!$7:$7,0)),"Mismatch")</f>
        <v>-15919.102330532694</v>
      </c>
      <c r="Q53" s="63">
        <f>IF($B53='Forecast 1'!$B53,INDEX('Forecast 1'!$1:$1048576,MATCH('Forecast 1'!$B53,'Forecast 1'!$B:$B,0),MATCH('Forecast 1'!Q$7,'Forecast 1'!$7:$7,0)),"Mismatch")</f>
        <v>-15644.230496732585</v>
      </c>
      <c r="R53" s="63">
        <f>IF($B53='Forecast 1'!$B53,INDEX('Forecast 1'!$1:$1048576,MATCH('Forecast 1'!$B53,'Forecast 1'!$B:$B,0),MATCH('Forecast 1'!R$7,'Forecast 1'!$7:$7,0)),"Mismatch")</f>
        <v>-15425.259653595424</v>
      </c>
      <c r="S53" s="63">
        <f>IF($B53='Forecast 1'!$B53,INDEX('Forecast 1'!$1:$1048576,MATCH('Forecast 1'!$B53,'Forecast 1'!$B:$B,0),MATCH('Forecast 1'!S$7,'Forecast 1'!$7:$7,0)),"Mismatch")</f>
        <v>-15385.958793392192</v>
      </c>
      <c r="T53" s="63">
        <f>IF($B53='Forecast 1'!$B53,INDEX('Forecast 1'!$1:$1048576,MATCH('Forecast 1'!$B53,'Forecast 1'!$B:$B,0),MATCH('Forecast 1'!T$7,'Forecast 1'!$7:$7,0)),"Mismatch")</f>
        <v>-15466.74487829912</v>
      </c>
      <c r="U53" s="63">
        <f>IF($B53='Forecast 1'!$B53,INDEX('Forecast 1'!$1:$1048576,MATCH('Forecast 1'!$B53,'Forecast 1'!$B:$B,0),MATCH('Forecast 1'!U$7,'Forecast 1'!$7:$7,0)),"Mismatch")</f>
        <v>-15541.516358358576</v>
      </c>
      <c r="V53" s="63">
        <f>IF($B53='Forecast 1'!$B53,INDEX('Forecast 1'!$1:$1048576,MATCH('Forecast 1'!$B53,'Forecast 1'!$B:$B,0),MATCH('Forecast 1'!V$7,'Forecast 1'!$7:$7,0)),"Mismatch")</f>
        <v>-15563.802085151765</v>
      </c>
    </row>
    <row r="54" spans="1:22" x14ac:dyDescent="0.2">
      <c r="A54" s="69"/>
      <c r="B54" s="23" t="s">
        <v>82</v>
      </c>
      <c r="C54" s="22" t="s">
        <v>56</v>
      </c>
      <c r="D54" s="63">
        <f>IF($B54='Forecast 1'!$B54,INDEX('Forecast 1'!$1:$1048576,MATCH('Forecast 1'!$B54,'Forecast 1'!$B:$B,0),MATCH('Forecast 1'!D$7,'Forecast 1'!$7:$7,0)),"Mismatch")</f>
        <v>0</v>
      </c>
      <c r="E54" s="63">
        <f>IF($B54='Forecast 1'!$B54,INDEX('Forecast 1'!$1:$1048576,MATCH('Forecast 1'!$B54,'Forecast 1'!$B:$B,0),MATCH('Forecast 1'!E$7,'Forecast 1'!$7:$7,0)),"Mismatch")</f>
        <v>0</v>
      </c>
      <c r="F54" s="63">
        <f>IF($B54='Forecast 1'!$B54,INDEX('Forecast 1'!$1:$1048576,MATCH('Forecast 1'!$B54,'Forecast 1'!$B:$B,0),MATCH('Forecast 1'!F$7,'Forecast 1'!$7:$7,0)),"Mismatch")</f>
        <v>0</v>
      </c>
      <c r="G54" s="63">
        <f>IF($B54='Forecast 1'!$B54,INDEX('Forecast 1'!$1:$1048576,MATCH('Forecast 1'!$B54,'Forecast 1'!$B:$B,0),MATCH('Forecast 1'!G$7,'Forecast 1'!$7:$7,0)),"Mismatch")</f>
        <v>0</v>
      </c>
      <c r="H54" s="63">
        <f>IF($B54='Forecast 1'!$B54,INDEX('Forecast 1'!$1:$1048576,MATCH('Forecast 1'!$B54,'Forecast 1'!$B:$B,0),MATCH('Forecast 1'!H$7,'Forecast 1'!$7:$7,0)),"Mismatch")</f>
        <v>0</v>
      </c>
      <c r="I54" s="63">
        <f>IF($B54='Forecast 1'!$B54,INDEX('Forecast 1'!$1:$1048576,MATCH('Forecast 1'!$B54,'Forecast 1'!$B:$B,0),MATCH('Forecast 1'!I$7,'Forecast 1'!$7:$7,0)),"Mismatch")</f>
        <v>0</v>
      </c>
      <c r="J54" s="63">
        <f>IF($B54='Forecast 1'!$B54,INDEX('Forecast 1'!$1:$1048576,MATCH('Forecast 1'!$B54,'Forecast 1'!$B:$B,0),MATCH('Forecast 1'!J$7,'Forecast 1'!$7:$7,0)),"Mismatch")</f>
        <v>0</v>
      </c>
      <c r="K54" s="63">
        <f>IF($B54='Forecast 1'!$B54,INDEX('Forecast 1'!$1:$1048576,MATCH('Forecast 1'!$B54,'Forecast 1'!$B:$B,0),MATCH('Forecast 1'!K$7,'Forecast 1'!$7:$7,0)),"Mismatch")</f>
        <v>0</v>
      </c>
      <c r="L54" s="63">
        <f>IF($B54='Forecast 1'!$B54,INDEX('Forecast 1'!$1:$1048576,MATCH('Forecast 1'!$B54,'Forecast 1'!$B:$B,0),MATCH('Forecast 1'!L$7,'Forecast 1'!$7:$7,0)),"Mismatch")</f>
        <v>0</v>
      </c>
      <c r="M54" s="63">
        <f>IF($B54='Forecast 1'!$B54,INDEX('Forecast 1'!$1:$1048576,MATCH('Forecast 1'!$B54,'Forecast 1'!$B:$B,0),MATCH('Forecast 1'!M$7,'Forecast 1'!$7:$7,0)),"Mismatch")</f>
        <v>0</v>
      </c>
      <c r="N54" s="63">
        <f>IF($B54='Forecast 1'!$B54,INDEX('Forecast 1'!$1:$1048576,MATCH('Forecast 1'!$B54,'Forecast 1'!$B:$B,0),MATCH('Forecast 1'!N$7,'Forecast 1'!$7:$7,0)),"Mismatch")</f>
        <v>0</v>
      </c>
      <c r="O54" s="63">
        <f>IF($B54='Forecast 1'!$B54,INDEX('Forecast 1'!$1:$1048576,MATCH('Forecast 1'!$B54,'Forecast 1'!$B:$B,0),MATCH('Forecast 1'!O$7,'Forecast 1'!$7:$7,0)),"Mismatch")</f>
        <v>0</v>
      </c>
      <c r="P54" s="63">
        <f>IF($B54='Forecast 1'!$B54,INDEX('Forecast 1'!$1:$1048576,MATCH('Forecast 1'!$B54,'Forecast 1'!$B:$B,0),MATCH('Forecast 1'!P$7,'Forecast 1'!$7:$7,0)),"Mismatch")</f>
        <v>0</v>
      </c>
      <c r="Q54" s="63">
        <f>IF($B54='Forecast 1'!$B54,INDEX('Forecast 1'!$1:$1048576,MATCH('Forecast 1'!$B54,'Forecast 1'!$B:$B,0),MATCH('Forecast 1'!Q$7,'Forecast 1'!$7:$7,0)),"Mismatch")</f>
        <v>0</v>
      </c>
      <c r="R54" s="63">
        <f>IF($B54='Forecast 1'!$B54,INDEX('Forecast 1'!$1:$1048576,MATCH('Forecast 1'!$B54,'Forecast 1'!$B:$B,0),MATCH('Forecast 1'!R$7,'Forecast 1'!$7:$7,0)),"Mismatch")</f>
        <v>0</v>
      </c>
      <c r="S54" s="63">
        <f>IF($B54='Forecast 1'!$B54,INDEX('Forecast 1'!$1:$1048576,MATCH('Forecast 1'!$B54,'Forecast 1'!$B:$B,0),MATCH('Forecast 1'!S$7,'Forecast 1'!$7:$7,0)),"Mismatch")</f>
        <v>0</v>
      </c>
      <c r="T54" s="63">
        <f>IF($B54='Forecast 1'!$B54,INDEX('Forecast 1'!$1:$1048576,MATCH('Forecast 1'!$B54,'Forecast 1'!$B:$B,0),MATCH('Forecast 1'!T$7,'Forecast 1'!$7:$7,0)),"Mismatch")</f>
        <v>0</v>
      </c>
      <c r="U54" s="63">
        <f>IF($B54='Forecast 1'!$B54,INDEX('Forecast 1'!$1:$1048576,MATCH('Forecast 1'!$B54,'Forecast 1'!$B:$B,0),MATCH('Forecast 1'!U$7,'Forecast 1'!$7:$7,0)),"Mismatch")</f>
        <v>0</v>
      </c>
      <c r="V54" s="63">
        <f>IF($B54='Forecast 1'!$B54,INDEX('Forecast 1'!$1:$1048576,MATCH('Forecast 1'!$B54,'Forecast 1'!$B:$B,0),MATCH('Forecast 1'!V$7,'Forecast 1'!$7:$7,0)),"Mismatch")</f>
        <v>0</v>
      </c>
    </row>
    <row r="55" spans="1:22" x14ac:dyDescent="0.2">
      <c r="A55" s="69"/>
      <c r="B55" s="23" t="s">
        <v>83</v>
      </c>
      <c r="C55" s="22" t="s">
        <v>56</v>
      </c>
      <c r="D55" s="63">
        <f>IF($B55='Forecast 1'!$B55,INDEX('Forecast 1'!$1:$1048576,MATCH('Forecast 1'!$B55,'Forecast 1'!$B:$B,0),MATCH('Forecast 1'!D$7,'Forecast 1'!$7:$7,0)),"Mismatch")</f>
        <v>0</v>
      </c>
      <c r="E55" s="63">
        <f>IF($B55='Forecast 1'!$B55,INDEX('Forecast 1'!$1:$1048576,MATCH('Forecast 1'!$B55,'Forecast 1'!$B:$B,0),MATCH('Forecast 1'!E$7,'Forecast 1'!$7:$7,0)),"Mismatch")</f>
        <v>0</v>
      </c>
      <c r="F55" s="63">
        <f>IF($B55='Forecast 1'!$B55,INDEX('Forecast 1'!$1:$1048576,MATCH('Forecast 1'!$B55,'Forecast 1'!$B:$B,0),MATCH('Forecast 1'!F$7,'Forecast 1'!$7:$7,0)),"Mismatch")</f>
        <v>0</v>
      </c>
      <c r="G55" s="63">
        <f>IF($B55='Forecast 1'!$B55,INDEX('Forecast 1'!$1:$1048576,MATCH('Forecast 1'!$B55,'Forecast 1'!$B:$B,0),MATCH('Forecast 1'!G$7,'Forecast 1'!$7:$7,0)),"Mismatch")</f>
        <v>0</v>
      </c>
      <c r="H55" s="63">
        <f>IF($B55='Forecast 1'!$B55,INDEX('Forecast 1'!$1:$1048576,MATCH('Forecast 1'!$B55,'Forecast 1'!$B:$B,0),MATCH('Forecast 1'!H$7,'Forecast 1'!$7:$7,0)),"Mismatch")</f>
        <v>0</v>
      </c>
      <c r="I55" s="63">
        <f>IF($B55='Forecast 1'!$B55,INDEX('Forecast 1'!$1:$1048576,MATCH('Forecast 1'!$B55,'Forecast 1'!$B:$B,0),MATCH('Forecast 1'!I$7,'Forecast 1'!$7:$7,0)),"Mismatch")</f>
        <v>0</v>
      </c>
      <c r="J55" s="63">
        <f>IF($B55='Forecast 1'!$B55,INDEX('Forecast 1'!$1:$1048576,MATCH('Forecast 1'!$B55,'Forecast 1'!$B:$B,0),MATCH('Forecast 1'!J$7,'Forecast 1'!$7:$7,0)),"Mismatch")</f>
        <v>0</v>
      </c>
      <c r="K55" s="63">
        <f>IF($B55='Forecast 1'!$B55,INDEX('Forecast 1'!$1:$1048576,MATCH('Forecast 1'!$B55,'Forecast 1'!$B:$B,0),MATCH('Forecast 1'!K$7,'Forecast 1'!$7:$7,0)),"Mismatch")</f>
        <v>0</v>
      </c>
      <c r="L55" s="63">
        <f>IF($B55='Forecast 1'!$B55,INDEX('Forecast 1'!$1:$1048576,MATCH('Forecast 1'!$B55,'Forecast 1'!$B:$B,0),MATCH('Forecast 1'!L$7,'Forecast 1'!$7:$7,0)),"Mismatch")</f>
        <v>0</v>
      </c>
      <c r="M55" s="63">
        <f>IF($B55='Forecast 1'!$B55,INDEX('Forecast 1'!$1:$1048576,MATCH('Forecast 1'!$B55,'Forecast 1'!$B:$B,0),MATCH('Forecast 1'!M$7,'Forecast 1'!$7:$7,0)),"Mismatch")</f>
        <v>0</v>
      </c>
      <c r="N55" s="63">
        <f>IF($B55='Forecast 1'!$B55,INDEX('Forecast 1'!$1:$1048576,MATCH('Forecast 1'!$B55,'Forecast 1'!$B:$B,0),MATCH('Forecast 1'!N$7,'Forecast 1'!$7:$7,0)),"Mismatch")</f>
        <v>0</v>
      </c>
      <c r="O55" s="63">
        <f>IF($B55='Forecast 1'!$B55,INDEX('Forecast 1'!$1:$1048576,MATCH('Forecast 1'!$B55,'Forecast 1'!$B:$B,0),MATCH('Forecast 1'!O$7,'Forecast 1'!$7:$7,0)),"Mismatch")</f>
        <v>0</v>
      </c>
      <c r="P55" s="63">
        <f>IF($B55='Forecast 1'!$B55,INDEX('Forecast 1'!$1:$1048576,MATCH('Forecast 1'!$B55,'Forecast 1'!$B:$B,0),MATCH('Forecast 1'!P$7,'Forecast 1'!$7:$7,0)),"Mismatch")</f>
        <v>0</v>
      </c>
      <c r="Q55" s="63">
        <f>IF($B55='Forecast 1'!$B55,INDEX('Forecast 1'!$1:$1048576,MATCH('Forecast 1'!$B55,'Forecast 1'!$B:$B,0),MATCH('Forecast 1'!Q$7,'Forecast 1'!$7:$7,0)),"Mismatch")</f>
        <v>0</v>
      </c>
      <c r="R55" s="63">
        <f>IF($B55='Forecast 1'!$B55,INDEX('Forecast 1'!$1:$1048576,MATCH('Forecast 1'!$B55,'Forecast 1'!$B:$B,0),MATCH('Forecast 1'!R$7,'Forecast 1'!$7:$7,0)),"Mismatch")</f>
        <v>0</v>
      </c>
      <c r="S55" s="63">
        <f>IF($B55='Forecast 1'!$B55,INDEX('Forecast 1'!$1:$1048576,MATCH('Forecast 1'!$B55,'Forecast 1'!$B:$B,0),MATCH('Forecast 1'!S$7,'Forecast 1'!$7:$7,0)),"Mismatch")</f>
        <v>0</v>
      </c>
      <c r="T55" s="63">
        <f>IF($B55='Forecast 1'!$B55,INDEX('Forecast 1'!$1:$1048576,MATCH('Forecast 1'!$B55,'Forecast 1'!$B:$B,0),MATCH('Forecast 1'!T$7,'Forecast 1'!$7:$7,0)),"Mismatch")</f>
        <v>0</v>
      </c>
      <c r="U55" s="63">
        <f>IF($B55='Forecast 1'!$B55,INDEX('Forecast 1'!$1:$1048576,MATCH('Forecast 1'!$B55,'Forecast 1'!$B:$B,0),MATCH('Forecast 1'!U$7,'Forecast 1'!$7:$7,0)),"Mismatch")</f>
        <v>0</v>
      </c>
      <c r="V55" s="63">
        <f>IF($B55='Forecast 1'!$B55,INDEX('Forecast 1'!$1:$1048576,MATCH('Forecast 1'!$B55,'Forecast 1'!$B:$B,0),MATCH('Forecast 1'!V$7,'Forecast 1'!$7:$7,0)),"Mismatch")</f>
        <v>0</v>
      </c>
    </row>
    <row r="56" spans="1:22" x14ac:dyDescent="0.2">
      <c r="A56" s="69"/>
      <c r="B56" s="23" t="s">
        <v>84</v>
      </c>
      <c r="C56" s="22" t="s">
        <v>54</v>
      </c>
      <c r="D56" s="63">
        <f>IF($B56='Forecast 1'!$B56,INDEX('Forecast 1'!$1:$1048576,MATCH('Forecast 1'!$B56,'Forecast 1'!$B:$B,0),MATCH('Forecast 1'!D$7,'Forecast 1'!$7:$7,0)),"Mismatch")</f>
        <v>0</v>
      </c>
      <c r="E56" s="63">
        <f>IF($B56='Forecast 1'!$B56,INDEX('Forecast 1'!$1:$1048576,MATCH('Forecast 1'!$B56,'Forecast 1'!$B:$B,0),MATCH('Forecast 1'!E$7,'Forecast 1'!$7:$7,0)),"Mismatch")</f>
        <v>-8580</v>
      </c>
      <c r="F56" s="63">
        <f>IF($B56='Forecast 1'!$B56,INDEX('Forecast 1'!$1:$1048576,MATCH('Forecast 1'!$B56,'Forecast 1'!$B:$B,0),MATCH('Forecast 1'!F$7,'Forecast 1'!$7:$7,0)),"Mismatch")</f>
        <v>0</v>
      </c>
      <c r="G56" s="63">
        <f>IF($B56='Forecast 1'!$B56,INDEX('Forecast 1'!$1:$1048576,MATCH('Forecast 1'!$B56,'Forecast 1'!$B:$B,0),MATCH('Forecast 1'!G$7,'Forecast 1'!$7:$7,0)),"Mismatch")</f>
        <v>-1140</v>
      </c>
      <c r="H56" s="63">
        <f>IF($B56='Forecast 1'!$B56,INDEX('Forecast 1'!$1:$1048576,MATCH('Forecast 1'!$B56,'Forecast 1'!$B:$B,0),MATCH('Forecast 1'!H$7,'Forecast 1'!$7:$7,0)),"Mismatch")</f>
        <v>0</v>
      </c>
      <c r="I56" s="63">
        <f>IF($B56='Forecast 1'!$B56,INDEX('Forecast 1'!$1:$1048576,MATCH('Forecast 1'!$B56,'Forecast 1'!$B:$B,0),MATCH('Forecast 1'!I$7,'Forecast 1'!$7:$7,0)),"Mismatch")</f>
        <v>0</v>
      </c>
      <c r="J56" s="63">
        <f>IF($B56='Forecast 1'!$B56,INDEX('Forecast 1'!$1:$1048576,MATCH('Forecast 1'!$B56,'Forecast 1'!$B:$B,0),MATCH('Forecast 1'!J$7,'Forecast 1'!$7:$7,0)),"Mismatch")</f>
        <v>-1620</v>
      </c>
      <c r="K56" s="63">
        <f>IF($B56='Forecast 1'!$B56,INDEX('Forecast 1'!$1:$1048576,MATCH('Forecast 1'!$B56,'Forecast 1'!$B:$B,0),MATCH('Forecast 1'!K$7,'Forecast 1'!$7:$7,0)),"Mismatch")</f>
        <v>-1890</v>
      </c>
      <c r="L56" s="63">
        <f>IF($B56='Forecast 1'!$B56,INDEX('Forecast 1'!$1:$1048576,MATCH('Forecast 1'!$B56,'Forecast 1'!$B:$B,0),MATCH('Forecast 1'!L$7,'Forecast 1'!$7:$7,0)),"Mismatch")</f>
        <v>-775</v>
      </c>
      <c r="M56" s="63">
        <f>IF($B56='Forecast 1'!$B56,INDEX('Forecast 1'!$1:$1048576,MATCH('Forecast 1'!$B56,'Forecast 1'!$B:$B,0),MATCH('Forecast 1'!M$7,'Forecast 1'!$7:$7,0)),"Mismatch")</f>
        <v>-904.16666666666663</v>
      </c>
      <c r="N56" s="63">
        <f>IF($B56='Forecast 1'!$B56,INDEX('Forecast 1'!$1:$1048576,MATCH('Forecast 1'!$B56,'Forecast 1'!$B:$B,0),MATCH('Forecast 1'!N$7,'Forecast 1'!$7:$7,0)),"Mismatch")</f>
        <v>-864.8611111111112</v>
      </c>
      <c r="O56" s="63">
        <f>IF($B56='Forecast 1'!$B56,INDEX('Forecast 1'!$1:$1048576,MATCH('Forecast 1'!$B56,'Forecast 1'!$B:$B,0),MATCH('Forecast 1'!O$7,'Forecast 1'!$7:$7,0)),"Mismatch")</f>
        <v>-1009.0046296296297</v>
      </c>
      <c r="P56" s="63">
        <f>IF($B56='Forecast 1'!$B56,INDEX('Forecast 1'!$1:$1048576,MATCH('Forecast 1'!$B56,'Forecast 1'!$B:$B,0),MATCH('Forecast 1'!P$7,'Forecast 1'!$7:$7,0)),"Mismatch")</f>
        <v>-1177.1720679012346</v>
      </c>
      <c r="Q56" s="63">
        <f>IF($B56='Forecast 1'!$B56,INDEX('Forecast 1'!$1:$1048576,MATCH('Forecast 1'!$B56,'Forecast 1'!$B:$B,0),MATCH('Forecast 1'!Q$7,'Forecast 1'!$7:$7,0)),"Mismatch")</f>
        <v>-1103.3674125514401</v>
      </c>
      <c r="R56" s="63">
        <f>IF($B56='Forecast 1'!$B56,INDEX('Forecast 1'!$1:$1048576,MATCH('Forecast 1'!$B56,'Forecast 1'!$B:$B,0),MATCH('Forecast 1'!R$7,'Forecast 1'!$7:$7,0)),"Mismatch")</f>
        <v>-972.26198131001365</v>
      </c>
      <c r="S56" s="63">
        <f>IF($B56='Forecast 1'!$B56,INDEX('Forecast 1'!$1:$1048576,MATCH('Forecast 1'!$B56,'Forecast 1'!$B:$B,0),MATCH('Forecast 1'!S$7,'Forecast 1'!$7:$7,0)),"Mismatch")</f>
        <v>-1005.138978195016</v>
      </c>
      <c r="T56" s="63">
        <f>IF($B56='Forecast 1'!$B56,INDEX('Forecast 1'!$1:$1048576,MATCH('Forecast 1'!$B56,'Forecast 1'!$B:$B,0),MATCH('Forecast 1'!T$7,'Forecast 1'!$7:$7,0)),"Mismatch")</f>
        <v>-1021.9676967830742</v>
      </c>
      <c r="U56" s="63">
        <f>IF($B56='Forecast 1'!$B56,INDEX('Forecast 1'!$1:$1048576,MATCH('Forecast 1'!$B56,'Forecast 1'!$B:$B,0),MATCH('Forecast 1'!U$7,'Forecast 1'!$7:$7,0)),"Mismatch")</f>
        <v>-1048.1521277284012</v>
      </c>
      <c r="V56" s="63">
        <f>IF($B56='Forecast 1'!$B56,INDEX('Forecast 1'!$1:$1048576,MATCH('Forecast 1'!$B56,'Forecast 1'!$B:$B,0),MATCH('Forecast 1'!V$7,'Forecast 1'!$7:$7,0)),"Mismatch")</f>
        <v>-1054.6767107448632</v>
      </c>
    </row>
    <row r="57" spans="1:22" x14ac:dyDescent="0.2">
      <c r="A57" s="69"/>
      <c r="D57" s="32"/>
      <c r="E57" s="32"/>
      <c r="F57" s="32"/>
      <c r="G57" s="32"/>
      <c r="H57" s="32"/>
      <c r="I57" s="32"/>
      <c r="J57" s="32"/>
      <c r="K57" s="32"/>
      <c r="L57" s="32"/>
      <c r="M57" s="32"/>
      <c r="N57" s="32"/>
      <c r="O57" s="32"/>
      <c r="P57" s="32"/>
      <c r="Q57" s="32"/>
      <c r="R57" s="32"/>
      <c r="S57" s="32"/>
      <c r="T57" s="32"/>
      <c r="U57" s="32"/>
      <c r="V57" s="32"/>
    </row>
    <row r="58" spans="1:22" x14ac:dyDescent="0.2">
      <c r="A58" s="69"/>
      <c r="B58" s="20" t="s">
        <v>89</v>
      </c>
      <c r="C58" s="21"/>
      <c r="D58" s="33">
        <f t="shared" ref="D58:V58" si="9">SUM(D49:D57)</f>
        <v>-21230</v>
      </c>
      <c r="E58" s="33">
        <f t="shared" si="9"/>
        <v>-33320</v>
      </c>
      <c r="F58" s="33">
        <f t="shared" si="9"/>
        <v>-20220</v>
      </c>
      <c r="G58" s="33">
        <f t="shared" si="9"/>
        <v>-15340</v>
      </c>
      <c r="H58" s="33">
        <f t="shared" si="9"/>
        <v>-12680</v>
      </c>
      <c r="I58" s="33">
        <f t="shared" si="9"/>
        <v>-12340</v>
      </c>
      <c r="J58" s="33">
        <f t="shared" si="9"/>
        <v>-19188.333333333332</v>
      </c>
      <c r="K58" s="33">
        <f t="shared" si="9"/>
        <v>-18848.055555555555</v>
      </c>
      <c r="L58" s="33">
        <f t="shared" si="9"/>
        <v>-16436.06481481481</v>
      </c>
      <c r="M58" s="33">
        <f t="shared" si="9"/>
        <v>-15805.408950617282</v>
      </c>
      <c r="N58" s="33">
        <f t="shared" si="9"/>
        <v>-15882.977109053496</v>
      </c>
      <c r="O58" s="33">
        <f t="shared" si="9"/>
        <v>-16416.806627229078</v>
      </c>
      <c r="P58" s="33">
        <f t="shared" si="9"/>
        <v>-17096.274398433929</v>
      </c>
      <c r="Q58" s="33">
        <f t="shared" si="9"/>
        <v>-16747.597909284024</v>
      </c>
      <c r="R58" s="33">
        <f t="shared" si="9"/>
        <v>-16397.521634905439</v>
      </c>
      <c r="S58" s="33">
        <f t="shared" si="9"/>
        <v>-16391.097771587207</v>
      </c>
      <c r="T58" s="33">
        <f t="shared" si="9"/>
        <v>-16488.712575082194</v>
      </c>
      <c r="U58" s="33">
        <f t="shared" si="9"/>
        <v>-16589.668486086979</v>
      </c>
      <c r="V58" s="33">
        <f t="shared" si="9"/>
        <v>-16618.478795896626</v>
      </c>
    </row>
    <row r="59" spans="1:22" ht="15" x14ac:dyDescent="0.25">
      <c r="A59" s="69"/>
      <c r="B59"/>
      <c r="C59" s="22"/>
      <c r="D59" s="34"/>
      <c r="E59" s="34"/>
      <c r="F59" s="34"/>
      <c r="G59" s="34"/>
      <c r="H59" s="34"/>
      <c r="I59" s="34"/>
      <c r="J59" s="34"/>
      <c r="K59" s="34"/>
      <c r="L59" s="34"/>
      <c r="M59" s="34"/>
      <c r="N59" s="34"/>
      <c r="O59" s="34"/>
      <c r="P59" s="34"/>
      <c r="Q59" s="34"/>
      <c r="R59" s="34"/>
      <c r="S59" s="34"/>
      <c r="T59" s="34"/>
      <c r="U59" s="34"/>
      <c r="V59" s="34"/>
    </row>
    <row r="60" spans="1:22" x14ac:dyDescent="0.2">
      <c r="A60" s="69"/>
      <c r="B60" s="25" t="s">
        <v>90</v>
      </c>
      <c r="C60" s="26"/>
      <c r="D60" s="35">
        <f>SUM(D21,D46,D58)</f>
        <v>-135370</v>
      </c>
      <c r="E60" s="35">
        <f t="shared" ref="E60:V60" si="10">SUM(E21,E46,E58)</f>
        <v>-36120</v>
      </c>
      <c r="F60" s="35">
        <f t="shared" si="10"/>
        <v>65020</v>
      </c>
      <c r="G60" s="35">
        <f t="shared" si="10"/>
        <v>-195750</v>
      </c>
      <c r="H60" s="35">
        <f t="shared" si="10"/>
        <v>281900</v>
      </c>
      <c r="I60" s="35">
        <f t="shared" si="10"/>
        <v>-110100</v>
      </c>
      <c r="J60" s="35">
        <f t="shared" si="10"/>
        <v>-103118.33333333333</v>
      </c>
      <c r="K60" s="35">
        <f t="shared" si="10"/>
        <v>44953.611111111117</v>
      </c>
      <c r="L60" s="35">
        <f t="shared" si="10"/>
        <v>242455.87962962964</v>
      </c>
      <c r="M60" s="35">
        <f t="shared" si="10"/>
        <v>15851.859567901229</v>
      </c>
      <c r="N60" s="35">
        <f t="shared" si="10"/>
        <v>-32571.163837448566</v>
      </c>
      <c r="O60" s="35">
        <f t="shared" si="10"/>
        <v>-66358.024477023326</v>
      </c>
      <c r="P60" s="35">
        <f t="shared" si="10"/>
        <v>203068.97144347281</v>
      </c>
      <c r="Q60" s="35">
        <f t="shared" si="10"/>
        <v>12700.188906273816</v>
      </c>
      <c r="R60" s="35">
        <f t="shared" si="10"/>
        <v>-59808.714794532381</v>
      </c>
      <c r="S60" s="35">
        <f t="shared" si="10"/>
        <v>-193302.81386522605</v>
      </c>
      <c r="T60" s="35">
        <f t="shared" si="10"/>
        <v>133221.40722925268</v>
      </c>
      <c r="U60" s="35">
        <f t="shared" si="10"/>
        <v>168020.16907370291</v>
      </c>
      <c r="V60" s="35">
        <f t="shared" si="10"/>
        <v>-289083.46533450938</v>
      </c>
    </row>
    <row r="62" spans="1:22" x14ac:dyDescent="0.2">
      <c r="C62" s="1" t="s">
        <v>247</v>
      </c>
      <c r="D62" s="67">
        <f>+D7</f>
        <v>45227</v>
      </c>
      <c r="E62" s="67">
        <f t="shared" ref="E62:V62" si="11">+E7</f>
        <v>45234</v>
      </c>
      <c r="F62" s="67">
        <f t="shared" si="11"/>
        <v>45241</v>
      </c>
      <c r="G62" s="67">
        <f t="shared" si="11"/>
        <v>45248</v>
      </c>
      <c r="H62" s="67">
        <f t="shared" si="11"/>
        <v>45255</v>
      </c>
      <c r="I62" s="67">
        <f t="shared" si="11"/>
        <v>45262</v>
      </c>
      <c r="J62" s="67">
        <f t="shared" si="11"/>
        <v>45269</v>
      </c>
      <c r="K62" s="67">
        <f t="shared" si="11"/>
        <v>45276</v>
      </c>
      <c r="L62" s="67">
        <f t="shared" si="11"/>
        <v>45283</v>
      </c>
      <c r="M62" s="67">
        <f t="shared" si="11"/>
        <v>45290</v>
      </c>
      <c r="N62" s="67">
        <f t="shared" si="11"/>
        <v>45297</v>
      </c>
      <c r="O62" s="67">
        <f t="shared" si="11"/>
        <v>45304</v>
      </c>
      <c r="P62" s="67">
        <f t="shared" si="11"/>
        <v>45311</v>
      </c>
      <c r="Q62" s="67">
        <f t="shared" si="11"/>
        <v>45318</v>
      </c>
      <c r="R62" s="67">
        <f t="shared" si="11"/>
        <v>45325</v>
      </c>
      <c r="S62" s="67">
        <f t="shared" si="11"/>
        <v>45332</v>
      </c>
      <c r="T62" s="67">
        <f t="shared" si="11"/>
        <v>45339</v>
      </c>
      <c r="U62" s="67">
        <f t="shared" si="11"/>
        <v>45346</v>
      </c>
      <c r="V62" s="67">
        <f t="shared" si="11"/>
        <v>45353</v>
      </c>
    </row>
    <row r="63" spans="1:22" x14ac:dyDescent="0.2">
      <c r="C63" s="1" t="s">
        <v>248</v>
      </c>
      <c r="D63" s="32">
        <f>+D12</f>
        <v>210210</v>
      </c>
      <c r="E63" s="32">
        <f t="shared" ref="E63:V63" si="12">+E12</f>
        <v>174090</v>
      </c>
      <c r="F63" s="32">
        <f t="shared" si="12"/>
        <v>239110</v>
      </c>
      <c r="G63" s="32">
        <f t="shared" si="12"/>
        <v>43360</v>
      </c>
      <c r="H63" s="32">
        <f t="shared" si="12"/>
        <v>325260</v>
      </c>
      <c r="I63" s="32">
        <f t="shared" si="12"/>
        <v>215160</v>
      </c>
      <c r="J63" s="32">
        <f t="shared" si="12"/>
        <v>112041.66666666667</v>
      </c>
      <c r="K63" s="32">
        <f t="shared" si="12"/>
        <v>156995.27777777778</v>
      </c>
      <c r="L63" s="32">
        <f t="shared" si="12"/>
        <v>399451.15740740742</v>
      </c>
      <c r="M63" s="32">
        <f t="shared" si="12"/>
        <v>415303.01697530865</v>
      </c>
      <c r="N63" s="32">
        <f t="shared" si="12"/>
        <v>382731.85313786007</v>
      </c>
      <c r="O63" s="32">
        <f t="shared" si="12"/>
        <v>316373.82866083673</v>
      </c>
      <c r="P63" s="32">
        <f t="shared" si="12"/>
        <v>519442.80010430957</v>
      </c>
      <c r="Q63" s="32">
        <f t="shared" si="12"/>
        <v>532142.98901058338</v>
      </c>
      <c r="R63" s="32">
        <f t="shared" si="12"/>
        <v>472334.27421605098</v>
      </c>
      <c r="S63" s="32">
        <f t="shared" si="12"/>
        <v>279031.46035082493</v>
      </c>
      <c r="T63" s="32">
        <f t="shared" si="12"/>
        <v>412252.86758007761</v>
      </c>
      <c r="U63" s="32">
        <f t="shared" si="12"/>
        <v>580273.03665378049</v>
      </c>
      <c r="V63" s="32">
        <f t="shared" si="12"/>
        <v>291189.57131927111</v>
      </c>
    </row>
    <row r="64" spans="1:22" x14ac:dyDescent="0.2">
      <c r="C64" s="1" t="s">
        <v>249</v>
      </c>
      <c r="D64" s="68">
        <f>+D15</f>
        <v>0</v>
      </c>
      <c r="E64" s="68">
        <f t="shared" ref="E64:V64" si="13">+E15</f>
        <v>0</v>
      </c>
      <c r="F64" s="68">
        <f t="shared" si="13"/>
        <v>0</v>
      </c>
      <c r="G64" s="68">
        <f t="shared" si="13"/>
        <v>0</v>
      </c>
      <c r="H64" s="68">
        <f t="shared" si="13"/>
        <v>0</v>
      </c>
      <c r="I64" s="68">
        <f t="shared" si="13"/>
        <v>0</v>
      </c>
      <c r="J64" s="68">
        <f t="shared" si="13"/>
        <v>0</v>
      </c>
      <c r="K64" s="68">
        <f t="shared" si="13"/>
        <v>0</v>
      </c>
      <c r="L64" s="68">
        <f t="shared" si="13"/>
        <v>0</v>
      </c>
      <c r="M64" s="68">
        <f t="shared" si="13"/>
        <v>0</v>
      </c>
      <c r="N64" s="68">
        <f t="shared" si="13"/>
        <v>0</v>
      </c>
      <c r="O64" s="68">
        <f t="shared" si="13"/>
        <v>0</v>
      </c>
      <c r="P64" s="68">
        <f t="shared" si="13"/>
        <v>0</v>
      </c>
      <c r="Q64" s="68">
        <f t="shared" si="13"/>
        <v>0</v>
      </c>
      <c r="R64" s="68">
        <f t="shared" si="13"/>
        <v>0</v>
      </c>
      <c r="S64" s="68">
        <f t="shared" si="13"/>
        <v>0</v>
      </c>
      <c r="T64" s="68">
        <f t="shared" si="13"/>
        <v>0</v>
      </c>
      <c r="U64" s="68">
        <f t="shared" si="13"/>
        <v>0</v>
      </c>
      <c r="V64" s="68">
        <f t="shared" si="13"/>
        <v>0</v>
      </c>
    </row>
  </sheetData>
  <conditionalFormatting sqref="D2">
    <cfRule type="cellIs" dxfId="11" priority="1" operator="notEqual">
      <formula>0</formula>
    </cfRule>
    <cfRule type="cellIs" dxfId="10" priority="2" operator="greaterThan">
      <formula>0</formula>
    </cfRule>
    <cfRule type="cellIs" dxfId="9" priority="3" operator="equal">
      <formula>0</formula>
    </cfRule>
  </conditionalFormatting>
  <hyperlinks>
    <hyperlink ref="B1" r:id="rId1" display="https://thesharpeandsortino.com/" xr:uid="{D666D7C6-8025-4746-BFB5-01D281B4A2C3}"/>
  </hyperlinks>
  <pageMargins left="0.51181102362204722" right="0.70866141732283472" top="1.3385826771653544" bottom="0.59055118110236227" header="0.31496062992125984" footer="0.31496062992125984"/>
  <pageSetup paperSize="8" scale="7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242F9-4C68-4B74-B21F-A485F9EBA410}">
  <dimension ref="A1:V60"/>
  <sheetViews>
    <sheetView showGridLines="0" zoomScale="95" zoomScaleNormal="95" workbookViewId="0">
      <pane ySplit="17" topLeftCell="A18" activePane="bottomLeft" state="frozen"/>
      <selection activeCell="B1" sqref="B1"/>
      <selection pane="bottomLeft"/>
    </sheetView>
  </sheetViews>
  <sheetFormatPr defaultRowHeight="12.75" x14ac:dyDescent="0.2"/>
  <cols>
    <col min="1" max="1" width="1.140625" style="1" customWidth="1"/>
    <col min="2" max="2" width="25.5703125" style="1" customWidth="1"/>
    <col min="3" max="3" width="20.28515625" style="1" customWidth="1"/>
    <col min="4" max="4" width="12.85546875" style="1" customWidth="1"/>
    <col min="5" max="6" width="13.5703125" style="1" bestFit="1" customWidth="1"/>
    <col min="7" max="7" width="13.7109375" style="1" bestFit="1" customWidth="1"/>
    <col min="8" max="8" width="13" style="1" bestFit="1" customWidth="1"/>
    <col min="9" max="9" width="13.7109375" style="1" bestFit="1" customWidth="1"/>
    <col min="10" max="22" width="11.42578125" style="1" bestFit="1" customWidth="1"/>
    <col min="23" max="16384" width="9.140625" style="1"/>
  </cols>
  <sheetData>
    <row r="1" spans="1:22" ht="47.25" thickBot="1" x14ac:dyDescent="0.75">
      <c r="A1" s="69"/>
      <c r="B1" s="70" t="s">
        <v>250</v>
      </c>
      <c r="C1" s="69"/>
      <c r="D1" s="69"/>
      <c r="E1" s="69"/>
      <c r="F1" s="69"/>
      <c r="G1" s="69"/>
      <c r="H1" s="69"/>
      <c r="I1" s="69"/>
      <c r="J1" s="69"/>
      <c r="K1" s="69"/>
      <c r="L1" s="69"/>
      <c r="M1" s="69"/>
      <c r="N1" s="69"/>
      <c r="O1" s="69"/>
      <c r="P1" s="69"/>
      <c r="Q1" s="69"/>
      <c r="R1" s="69"/>
      <c r="S1" s="69"/>
      <c r="T1" s="69"/>
      <c r="U1" s="69"/>
      <c r="V1" s="69"/>
    </row>
    <row r="2" spans="1:22" ht="13.5" thickBot="1" x14ac:dyDescent="0.25">
      <c r="A2" s="69"/>
      <c r="B2" s="18" t="s">
        <v>46</v>
      </c>
      <c r="C2" s="18"/>
      <c r="D2" s="19">
        <f>+'Error Checking'!B2</f>
        <v>0</v>
      </c>
    </row>
    <row r="3" spans="1:22" ht="5.25" hidden="1" customHeight="1" x14ac:dyDescent="0.2">
      <c r="A3" s="69"/>
    </row>
    <row r="4" spans="1:22" x14ac:dyDescent="0.2">
      <c r="A4" s="69"/>
      <c r="B4" s="2" t="s">
        <v>0</v>
      </c>
      <c r="C4" s="2"/>
      <c r="D4" s="75" t="s">
        <v>4</v>
      </c>
      <c r="E4" s="75" t="s">
        <v>4</v>
      </c>
      <c r="F4" s="75" t="s">
        <v>4</v>
      </c>
      <c r="G4" s="75" t="s">
        <v>4</v>
      </c>
      <c r="H4" s="75" t="s">
        <v>4</v>
      </c>
      <c r="I4" s="75" t="s">
        <v>4</v>
      </c>
      <c r="J4" s="77" t="s">
        <v>5</v>
      </c>
      <c r="K4" s="77" t="s">
        <v>5</v>
      </c>
      <c r="L4" s="77" t="s">
        <v>5</v>
      </c>
      <c r="M4" s="77" t="s">
        <v>5</v>
      </c>
      <c r="N4" s="77" t="s">
        <v>5</v>
      </c>
      <c r="O4" s="77" t="s">
        <v>5</v>
      </c>
      <c r="P4" s="77" t="s">
        <v>5</v>
      </c>
      <c r="Q4" s="77" t="s">
        <v>5</v>
      </c>
      <c r="R4" s="77" t="s">
        <v>5</v>
      </c>
      <c r="S4" s="77" t="s">
        <v>5</v>
      </c>
      <c r="T4" s="77" t="s">
        <v>5</v>
      </c>
      <c r="U4" s="77" t="s">
        <v>5</v>
      </c>
      <c r="V4" s="77" t="s">
        <v>5</v>
      </c>
    </row>
    <row r="5" spans="1:22" x14ac:dyDescent="0.2">
      <c r="A5" s="69"/>
      <c r="B5" s="2" t="s">
        <v>1</v>
      </c>
      <c r="C5" s="2"/>
      <c r="D5" s="42">
        <v>1</v>
      </c>
      <c r="E5" s="3">
        <v>2</v>
      </c>
      <c r="F5" s="3">
        <v>3</v>
      </c>
      <c r="G5" s="3">
        <v>4</v>
      </c>
      <c r="H5" s="3">
        <v>5</v>
      </c>
      <c r="I5" s="3">
        <v>6</v>
      </c>
      <c r="J5" s="3">
        <v>7</v>
      </c>
      <c r="K5" s="3">
        <v>8</v>
      </c>
      <c r="L5" s="3">
        <v>9</v>
      </c>
      <c r="M5" s="3">
        <v>10</v>
      </c>
      <c r="N5" s="3">
        <v>11</v>
      </c>
      <c r="O5" s="3">
        <v>12</v>
      </c>
      <c r="P5" s="3">
        <v>13</v>
      </c>
      <c r="Q5" s="3">
        <v>14</v>
      </c>
      <c r="R5" s="3">
        <v>15</v>
      </c>
      <c r="S5" s="3">
        <v>16</v>
      </c>
      <c r="T5" s="3">
        <v>17</v>
      </c>
      <c r="U5" s="3">
        <v>18</v>
      </c>
      <c r="V5" s="3">
        <v>19</v>
      </c>
    </row>
    <row r="6" spans="1:22" x14ac:dyDescent="0.2">
      <c r="A6" s="69"/>
      <c r="B6" s="2" t="s">
        <v>2</v>
      </c>
      <c r="C6" s="2"/>
      <c r="D6" s="4">
        <v>45221</v>
      </c>
      <c r="E6" s="4">
        <f>+D7+1</f>
        <v>45228</v>
      </c>
      <c r="F6" s="4">
        <f t="shared" ref="F6:V6" si="0">+E7+1</f>
        <v>45235</v>
      </c>
      <c r="G6" s="4">
        <f t="shared" si="0"/>
        <v>45242</v>
      </c>
      <c r="H6" s="4">
        <f t="shared" si="0"/>
        <v>45249</v>
      </c>
      <c r="I6" s="4">
        <f t="shared" si="0"/>
        <v>45256</v>
      </c>
      <c r="J6" s="4">
        <f t="shared" si="0"/>
        <v>45263</v>
      </c>
      <c r="K6" s="4">
        <f t="shared" si="0"/>
        <v>45270</v>
      </c>
      <c r="L6" s="4">
        <f t="shared" si="0"/>
        <v>45277</v>
      </c>
      <c r="M6" s="4">
        <f t="shared" si="0"/>
        <v>45284</v>
      </c>
      <c r="N6" s="4">
        <f t="shared" si="0"/>
        <v>45291</v>
      </c>
      <c r="O6" s="4">
        <f t="shared" si="0"/>
        <v>45298</v>
      </c>
      <c r="P6" s="4">
        <f t="shared" si="0"/>
        <v>45305</v>
      </c>
      <c r="Q6" s="4">
        <f t="shared" si="0"/>
        <v>45312</v>
      </c>
      <c r="R6" s="4">
        <f t="shared" si="0"/>
        <v>45319</v>
      </c>
      <c r="S6" s="4">
        <f t="shared" si="0"/>
        <v>45326</v>
      </c>
      <c r="T6" s="4">
        <f t="shared" si="0"/>
        <v>45333</v>
      </c>
      <c r="U6" s="4">
        <f t="shared" si="0"/>
        <v>45340</v>
      </c>
      <c r="V6" s="4">
        <f t="shared" si="0"/>
        <v>45347</v>
      </c>
    </row>
    <row r="7" spans="1:22" x14ac:dyDescent="0.2">
      <c r="A7" s="69"/>
      <c r="B7" s="5" t="s">
        <v>3</v>
      </c>
      <c r="C7" s="5"/>
      <c r="D7" s="6">
        <f>+D6+6</f>
        <v>45227</v>
      </c>
      <c r="E7" s="6">
        <f>+E6+6</f>
        <v>45234</v>
      </c>
      <c r="F7" s="6">
        <f t="shared" ref="F7:V7" si="1">+F6+6</f>
        <v>45241</v>
      </c>
      <c r="G7" s="6">
        <f t="shared" si="1"/>
        <v>45248</v>
      </c>
      <c r="H7" s="6">
        <f t="shared" si="1"/>
        <v>45255</v>
      </c>
      <c r="I7" s="6">
        <f t="shared" si="1"/>
        <v>45262</v>
      </c>
      <c r="J7" s="6">
        <f t="shared" si="1"/>
        <v>45269</v>
      </c>
      <c r="K7" s="6">
        <f t="shared" si="1"/>
        <v>45276</v>
      </c>
      <c r="L7" s="6">
        <f t="shared" si="1"/>
        <v>45283</v>
      </c>
      <c r="M7" s="6">
        <f t="shared" si="1"/>
        <v>45290</v>
      </c>
      <c r="N7" s="6">
        <f t="shared" si="1"/>
        <v>45297</v>
      </c>
      <c r="O7" s="6">
        <f t="shared" si="1"/>
        <v>45304</v>
      </c>
      <c r="P7" s="6">
        <f t="shared" si="1"/>
        <v>45311</v>
      </c>
      <c r="Q7" s="6">
        <f t="shared" si="1"/>
        <v>45318</v>
      </c>
      <c r="R7" s="6">
        <f t="shared" si="1"/>
        <v>45325</v>
      </c>
      <c r="S7" s="6">
        <f t="shared" si="1"/>
        <v>45332</v>
      </c>
      <c r="T7" s="6">
        <f t="shared" si="1"/>
        <v>45339</v>
      </c>
      <c r="U7" s="6">
        <f t="shared" si="1"/>
        <v>45346</v>
      </c>
      <c r="V7" s="6">
        <f t="shared" si="1"/>
        <v>45353</v>
      </c>
    </row>
    <row r="8" spans="1:22" x14ac:dyDescent="0.2">
      <c r="A8" s="69"/>
    </row>
    <row r="9" spans="1:22" x14ac:dyDescent="0.2">
      <c r="A9" s="69"/>
      <c r="B9" s="5" t="s">
        <v>6</v>
      </c>
      <c r="C9" s="5"/>
      <c r="D9" s="5"/>
      <c r="E9" s="5"/>
      <c r="F9" s="5"/>
      <c r="G9" s="5"/>
      <c r="H9" s="5"/>
      <c r="I9" s="5"/>
      <c r="J9" s="5"/>
      <c r="K9" s="5"/>
      <c r="L9" s="5"/>
      <c r="M9" s="5"/>
      <c r="N9" s="5"/>
      <c r="O9" s="5"/>
      <c r="P9" s="5"/>
      <c r="Q9" s="5"/>
      <c r="R9" s="5"/>
      <c r="S9" s="5"/>
      <c r="T9" s="5"/>
      <c r="U9" s="5"/>
      <c r="V9" s="5"/>
    </row>
    <row r="10" spans="1:22" x14ac:dyDescent="0.2">
      <c r="A10" s="69"/>
      <c r="B10" s="1" t="s">
        <v>85</v>
      </c>
      <c r="D10" s="38">
        <f>+'Bank Statement Export'!$J$56</f>
        <v>345580</v>
      </c>
      <c r="E10" s="31">
        <f>+D12</f>
        <v>210210</v>
      </c>
      <c r="F10" s="31">
        <f t="shared" ref="F10:V10" si="2">+E12</f>
        <v>174090</v>
      </c>
      <c r="G10" s="31">
        <f t="shared" si="2"/>
        <v>239110</v>
      </c>
      <c r="H10" s="31">
        <f t="shared" si="2"/>
        <v>43360</v>
      </c>
      <c r="I10" s="31">
        <f t="shared" si="2"/>
        <v>325260</v>
      </c>
      <c r="J10" s="31">
        <f t="shared" si="2"/>
        <v>215160</v>
      </c>
      <c r="K10" s="31">
        <f t="shared" si="2"/>
        <v>112041.66666666667</v>
      </c>
      <c r="L10" s="31">
        <f t="shared" si="2"/>
        <v>156995.27777777778</v>
      </c>
      <c r="M10" s="31">
        <f t="shared" si="2"/>
        <v>399451.15740740742</v>
      </c>
      <c r="N10" s="31">
        <f t="shared" si="2"/>
        <v>415303.01697530865</v>
      </c>
      <c r="O10" s="31">
        <f t="shared" si="2"/>
        <v>382731.85313786007</v>
      </c>
      <c r="P10" s="31">
        <f t="shared" si="2"/>
        <v>316373.82866083673</v>
      </c>
      <c r="Q10" s="31">
        <f t="shared" si="2"/>
        <v>519442.80010430957</v>
      </c>
      <c r="R10" s="31">
        <f t="shared" si="2"/>
        <v>532142.98901058338</v>
      </c>
      <c r="S10" s="31">
        <f t="shared" si="2"/>
        <v>472334.27421605098</v>
      </c>
      <c r="T10" s="31">
        <f t="shared" si="2"/>
        <v>279031.46035082493</v>
      </c>
      <c r="U10" s="31">
        <f t="shared" si="2"/>
        <v>412252.86758007761</v>
      </c>
      <c r="V10" s="31">
        <f t="shared" si="2"/>
        <v>580273.03665378049</v>
      </c>
    </row>
    <row r="11" spans="1:22" x14ac:dyDescent="0.2">
      <c r="A11" s="69"/>
      <c r="B11" s="1" t="s">
        <v>7</v>
      </c>
      <c r="D11" s="32">
        <f>+D60</f>
        <v>-135370</v>
      </c>
      <c r="E11" s="32">
        <f t="shared" ref="E11:I11" si="3">+E60</f>
        <v>-36120</v>
      </c>
      <c r="F11" s="32">
        <f t="shared" si="3"/>
        <v>65020</v>
      </c>
      <c r="G11" s="32">
        <f t="shared" si="3"/>
        <v>-195750</v>
      </c>
      <c r="H11" s="32">
        <f t="shared" si="3"/>
        <v>281900</v>
      </c>
      <c r="I11" s="32">
        <f t="shared" si="3"/>
        <v>-110100</v>
      </c>
      <c r="J11" s="32">
        <f>+J60</f>
        <v>-103118.33333333333</v>
      </c>
      <c r="K11" s="32">
        <f t="shared" ref="K11:V11" si="4">+K60</f>
        <v>44953.611111111117</v>
      </c>
      <c r="L11" s="32">
        <f t="shared" si="4"/>
        <v>242455.87962962964</v>
      </c>
      <c r="M11" s="32">
        <f t="shared" si="4"/>
        <v>15851.859567901229</v>
      </c>
      <c r="N11" s="32">
        <f t="shared" si="4"/>
        <v>-32571.163837448566</v>
      </c>
      <c r="O11" s="32">
        <f t="shared" si="4"/>
        <v>-66358.024477023326</v>
      </c>
      <c r="P11" s="32">
        <f t="shared" si="4"/>
        <v>203068.97144347281</v>
      </c>
      <c r="Q11" s="32">
        <f t="shared" si="4"/>
        <v>12700.188906273816</v>
      </c>
      <c r="R11" s="32">
        <f t="shared" si="4"/>
        <v>-59808.714794532381</v>
      </c>
      <c r="S11" s="32">
        <f t="shared" si="4"/>
        <v>-193302.81386522605</v>
      </c>
      <c r="T11" s="32">
        <f t="shared" si="4"/>
        <v>133221.40722925268</v>
      </c>
      <c r="U11" s="32">
        <f t="shared" si="4"/>
        <v>168020.16907370291</v>
      </c>
      <c r="V11" s="32">
        <f t="shared" si="4"/>
        <v>-289083.46533450938</v>
      </c>
    </row>
    <row r="12" spans="1:22" x14ac:dyDescent="0.2">
      <c r="A12" s="69"/>
      <c r="B12" s="15" t="s">
        <v>8</v>
      </c>
      <c r="C12" s="24"/>
      <c r="D12" s="35">
        <f>SUM(D10:D11)</f>
        <v>210210</v>
      </c>
      <c r="E12" s="35">
        <f t="shared" ref="E12:V12" si="5">SUM(E10:E11)</f>
        <v>174090</v>
      </c>
      <c r="F12" s="35">
        <f t="shared" si="5"/>
        <v>239110</v>
      </c>
      <c r="G12" s="35">
        <f t="shared" si="5"/>
        <v>43360</v>
      </c>
      <c r="H12" s="35">
        <f t="shared" si="5"/>
        <v>325260</v>
      </c>
      <c r="I12" s="35">
        <f t="shared" si="5"/>
        <v>215160</v>
      </c>
      <c r="J12" s="35">
        <f t="shared" si="5"/>
        <v>112041.66666666667</v>
      </c>
      <c r="K12" s="35">
        <f t="shared" si="5"/>
        <v>156995.27777777778</v>
      </c>
      <c r="L12" s="35">
        <f t="shared" si="5"/>
        <v>399451.15740740742</v>
      </c>
      <c r="M12" s="35">
        <f t="shared" si="5"/>
        <v>415303.01697530865</v>
      </c>
      <c r="N12" s="35">
        <f t="shared" si="5"/>
        <v>382731.85313786007</v>
      </c>
      <c r="O12" s="35">
        <f t="shared" si="5"/>
        <v>316373.82866083673</v>
      </c>
      <c r="P12" s="35">
        <f t="shared" si="5"/>
        <v>519442.80010430957</v>
      </c>
      <c r="Q12" s="35">
        <f t="shared" si="5"/>
        <v>532142.98901058338</v>
      </c>
      <c r="R12" s="35">
        <f t="shared" si="5"/>
        <v>472334.27421605098</v>
      </c>
      <c r="S12" s="35">
        <f t="shared" si="5"/>
        <v>279031.46035082493</v>
      </c>
      <c r="T12" s="35">
        <f t="shared" si="5"/>
        <v>412252.86758007761</v>
      </c>
      <c r="U12" s="35">
        <f t="shared" si="5"/>
        <v>580273.03665378049</v>
      </c>
      <c r="V12" s="35">
        <f t="shared" si="5"/>
        <v>291189.57131927111</v>
      </c>
    </row>
    <row r="13" spans="1:22" x14ac:dyDescent="0.2">
      <c r="A13" s="69"/>
      <c r="B13" s="1" t="s">
        <v>154</v>
      </c>
      <c r="D13" s="41">
        <f>+'Bank Statement Export'!J110</f>
        <v>210210</v>
      </c>
      <c r="E13" s="41">
        <f>+'Bank Statement Export'!J187</f>
        <v>174090</v>
      </c>
      <c r="F13" s="41">
        <f>+'Bank Statement Export'!J241</f>
        <v>239110</v>
      </c>
      <c r="G13" s="41">
        <f>+'Bank Statement Export'!J286</f>
        <v>43360</v>
      </c>
      <c r="H13" s="41">
        <f>+'Bank Statement Export'!J332</f>
        <v>325260</v>
      </c>
      <c r="I13" s="41">
        <f>+'Bank Statement Export'!J381</f>
        <v>215160</v>
      </c>
      <c r="J13" s="40"/>
      <c r="K13" s="40"/>
      <c r="L13" s="40"/>
      <c r="M13" s="40"/>
      <c r="N13" s="40"/>
      <c r="O13" s="40"/>
      <c r="P13" s="40"/>
      <c r="Q13" s="40"/>
      <c r="R13" s="40"/>
      <c r="S13" s="40"/>
      <c r="T13" s="40"/>
      <c r="U13" s="40"/>
      <c r="V13" s="40"/>
    </row>
    <row r="14" spans="1:22" x14ac:dyDescent="0.2">
      <c r="A14" s="69"/>
      <c r="B14" s="1" t="s">
        <v>86</v>
      </c>
      <c r="D14" s="39">
        <f>IF(D4="Forecast",0,D13-D12)</f>
        <v>0</v>
      </c>
      <c r="E14" s="39">
        <f t="shared" ref="E14:V14" si="6">IF(E4="Forecast",0,E13-E12)</f>
        <v>0</v>
      </c>
      <c r="F14" s="39">
        <f t="shared" si="6"/>
        <v>0</v>
      </c>
      <c r="G14" s="39">
        <f t="shared" si="6"/>
        <v>0</v>
      </c>
      <c r="H14" s="39">
        <f t="shared" si="6"/>
        <v>0</v>
      </c>
      <c r="I14" s="39">
        <f t="shared" si="6"/>
        <v>0</v>
      </c>
      <c r="J14" s="39">
        <f t="shared" si="6"/>
        <v>0</v>
      </c>
      <c r="K14" s="39">
        <f t="shared" si="6"/>
        <v>0</v>
      </c>
      <c r="L14" s="39">
        <f t="shared" si="6"/>
        <v>0</v>
      </c>
      <c r="M14" s="39">
        <f t="shared" si="6"/>
        <v>0</v>
      </c>
      <c r="N14" s="39">
        <f t="shared" si="6"/>
        <v>0</v>
      </c>
      <c r="O14" s="39">
        <f t="shared" si="6"/>
        <v>0</v>
      </c>
      <c r="P14" s="39">
        <f t="shared" si="6"/>
        <v>0</v>
      </c>
      <c r="Q14" s="39">
        <f t="shared" si="6"/>
        <v>0</v>
      </c>
      <c r="R14" s="39">
        <f t="shared" si="6"/>
        <v>0</v>
      </c>
      <c r="S14" s="39">
        <f t="shared" si="6"/>
        <v>0</v>
      </c>
      <c r="T14" s="39">
        <f t="shared" si="6"/>
        <v>0</v>
      </c>
      <c r="U14" s="39">
        <f t="shared" si="6"/>
        <v>0</v>
      </c>
      <c r="V14" s="39">
        <f t="shared" si="6"/>
        <v>0</v>
      </c>
    </row>
    <row r="15" spans="1:22" customFormat="1" ht="15" x14ac:dyDescent="0.25">
      <c r="A15" s="69"/>
      <c r="B15" s="1" t="s">
        <v>246</v>
      </c>
      <c r="C15" s="22"/>
      <c r="D15" s="66"/>
      <c r="E15" s="66"/>
      <c r="F15" s="66"/>
      <c r="G15" s="66"/>
      <c r="H15" s="66"/>
      <c r="I15" s="66"/>
      <c r="J15" s="66"/>
      <c r="K15" s="66"/>
      <c r="L15" s="66"/>
      <c r="M15" s="66"/>
      <c r="N15" s="66"/>
      <c r="O15" s="66"/>
      <c r="P15" s="66"/>
      <c r="Q15" s="66"/>
      <c r="R15" s="66"/>
      <c r="S15" s="66"/>
      <c r="T15" s="66"/>
      <c r="U15" s="66"/>
      <c r="V15" s="66"/>
    </row>
    <row r="16" spans="1:22" x14ac:dyDescent="0.2">
      <c r="A16" s="69"/>
    </row>
    <row r="17" spans="1:22" x14ac:dyDescent="0.2">
      <c r="A17" s="69"/>
      <c r="B17" s="5" t="s">
        <v>50</v>
      </c>
      <c r="C17" s="5"/>
      <c r="D17" s="5"/>
      <c r="E17" s="5"/>
      <c r="F17" s="5"/>
      <c r="G17" s="5"/>
      <c r="H17" s="5"/>
      <c r="I17" s="5"/>
      <c r="J17" s="5"/>
      <c r="K17" s="5"/>
      <c r="L17" s="5"/>
      <c r="M17" s="5"/>
      <c r="N17" s="5"/>
      <c r="O17" s="5"/>
      <c r="P17" s="5"/>
      <c r="Q17" s="5"/>
      <c r="R17" s="5"/>
      <c r="S17" s="5"/>
      <c r="T17" s="5"/>
      <c r="U17" s="5"/>
      <c r="V17" s="5"/>
    </row>
    <row r="18" spans="1:22" x14ac:dyDescent="0.2">
      <c r="A18" s="69"/>
      <c r="B18" s="1" t="s">
        <v>87</v>
      </c>
      <c r="D18" s="63">
        <f>SUMIFS('Bank Statement Export'!$I:$I,'Bank Statement Export'!$C:$C,'Forecast 1'!$B18,'Bank Statement Export'!$A:$A,'Forecast 1'!D$7)</f>
        <v>0</v>
      </c>
      <c r="E18" s="63">
        <f>SUMIFS('Bank Statement Export'!$I:$I,'Bank Statement Export'!$C:$C,'Forecast 1'!$B18,'Bank Statement Export'!$A:$A,'Forecast 1'!E$7)</f>
        <v>372100</v>
      </c>
      <c r="F18" s="63">
        <f>SUMIFS('Bank Statement Export'!$I:$I,'Bank Statement Export'!$C:$C,'Forecast 1'!$B18,'Bank Statement Export'!$A:$A,'Forecast 1'!F$7)</f>
        <v>210150</v>
      </c>
      <c r="G18" s="63">
        <f>SUMIFS('Bank Statement Export'!$I:$I,'Bank Statement Export'!$C:$C,'Forecast 1'!$B18,'Bank Statement Export'!$A:$A,'Forecast 1'!G$7)</f>
        <v>0</v>
      </c>
      <c r="H18" s="63">
        <f>SUMIFS('Bank Statement Export'!$I:$I,'Bank Statement Export'!$C:$C,'Forecast 1'!$B18,'Bank Statement Export'!$A:$A,'Forecast 1'!H$7)</f>
        <v>361430</v>
      </c>
      <c r="I18" s="63">
        <f>SUMIFS('Bank Statement Export'!$I:$I,'Bank Statement Export'!$C:$C,'Forecast 1'!$B18,'Bank Statement Export'!$A:$A,'Forecast 1'!I$7)</f>
        <v>68440</v>
      </c>
      <c r="J18" s="63">
        <f>SUMIFS('AR Aging 01'!$B:$B,'AR Aging 01'!$A:$A,'Forecast 1'!J$7)</f>
        <v>330000</v>
      </c>
      <c r="K18" s="63">
        <f>SUMIFS('AR Aging 01'!$B:$B,'AR Aging 01'!$A:$A,'Forecast 1'!K$7)</f>
        <v>120000</v>
      </c>
      <c r="L18" s="63">
        <f>SUMIFS('AR Aging 01'!$B:$B,'AR Aging 01'!$A:$A,'Forecast 1'!L$7)</f>
        <v>454000</v>
      </c>
      <c r="M18" s="63">
        <f>SUMIFS('AR Aging 01'!$B:$B,'AR Aging 01'!$A:$A,'Forecast 1'!M$7)</f>
        <v>80000</v>
      </c>
      <c r="N18" s="63">
        <f>SUMIFS('AR Aging 01'!$B:$B,'AR Aging 01'!$A:$A,'Forecast 1'!N$7)</f>
        <v>100000</v>
      </c>
      <c r="O18" s="63">
        <f>SUMIFS('AR Aging 01'!$B:$B,'AR Aging 01'!$A:$A,'Forecast 1'!O$7)</f>
        <v>0</v>
      </c>
      <c r="P18" s="63">
        <f>SUMIFS('AR Aging 01'!$B:$B,'AR Aging 01'!$A:$A,'Forecast 1'!P$7)</f>
        <v>271800</v>
      </c>
      <c r="Q18" s="63">
        <f>SUMIFS('AR Aging 01'!$B:$B,'AR Aging 01'!$A:$A,'Forecast 1'!Q$7)</f>
        <v>80000</v>
      </c>
      <c r="R18" s="63">
        <f>SUMIFS('AR Aging 01'!$B:$B,'AR Aging 01'!$A:$A,'Forecast 1'!R$7)</f>
        <v>198000</v>
      </c>
      <c r="S18" s="63">
        <f>SUMIFS('AR Aging 01'!$B:$B,'AR Aging 01'!$A:$A,'Forecast 1'!S$7)</f>
        <v>0</v>
      </c>
      <c r="T18" s="63">
        <f>SUMIFS('AR Aging 01'!$B:$B,'AR Aging 01'!$A:$A,'Forecast 1'!T$7)</f>
        <v>250000</v>
      </c>
      <c r="U18" s="63">
        <f>SUMIFS('AR Aging 01'!$B:$B,'AR Aging 01'!$A:$A,'Forecast 1'!U$7)</f>
        <v>325000</v>
      </c>
      <c r="V18" s="63">
        <f>SUMIFS('AR Aging 01'!$B:$B,'AR Aging 01'!$A:$A,'Forecast 1'!V$7)</f>
        <v>0</v>
      </c>
    </row>
    <row r="19" spans="1:22" x14ac:dyDescent="0.2">
      <c r="A19" s="69"/>
      <c r="B19" s="1" t="s">
        <v>88</v>
      </c>
      <c r="D19" s="63">
        <f>SUMIFS('Bank Statement Export'!$I:$I,'Bank Statement Export'!$C:$C,'Forecast 1'!$B19,'Bank Statement Export'!$A:$A,'Forecast 1'!D$7)</f>
        <v>0</v>
      </c>
      <c r="E19" s="63">
        <f>SUMIFS('Bank Statement Export'!$I:$I,'Bank Statement Export'!$C:$C,'Forecast 1'!$B19,'Bank Statement Export'!$A:$A,'Forecast 1'!E$7)</f>
        <v>0</v>
      </c>
      <c r="F19" s="63">
        <f>SUMIFS('Bank Statement Export'!$I:$I,'Bank Statement Export'!$C:$C,'Forecast 1'!$B19,'Bank Statement Export'!$A:$A,'Forecast 1'!F$7)</f>
        <v>0</v>
      </c>
      <c r="G19" s="63">
        <f>SUMIFS('Bank Statement Export'!$I:$I,'Bank Statement Export'!$C:$C,'Forecast 1'!$B19,'Bank Statement Export'!$A:$A,'Forecast 1'!G$7)</f>
        <v>0</v>
      </c>
      <c r="H19" s="63">
        <f>SUMIFS('Bank Statement Export'!$I:$I,'Bank Statement Export'!$C:$C,'Forecast 1'!$B19,'Bank Statement Export'!$A:$A,'Forecast 1'!H$7)</f>
        <v>0</v>
      </c>
      <c r="I19" s="63">
        <f>SUMIFS('Bank Statement Export'!$I:$I,'Bank Statement Export'!$C:$C,'Forecast 1'!$B19,'Bank Statement Export'!$A:$A,'Forecast 1'!I$7)</f>
        <v>0</v>
      </c>
      <c r="J19" s="63">
        <f>SUMIFS('Bank Statement Export'!$I:$I,'Bank Statement Export'!$C:$C,'Forecast 1'!$B19,'Bank Statement Export'!$A:$A,'Forecast 1'!J$7)</f>
        <v>0</v>
      </c>
      <c r="K19" s="63">
        <f>SUMIFS('Bank Statement Export'!$I:$I,'Bank Statement Export'!$C:$C,'Forecast 1'!$B19,'Bank Statement Export'!$A:$A,'Forecast 1'!K$7)</f>
        <v>0</v>
      </c>
      <c r="L19" s="63">
        <f>SUMIFS('Bank Statement Export'!$I:$I,'Bank Statement Export'!$C:$C,'Forecast 1'!$B19,'Bank Statement Export'!$A:$A,'Forecast 1'!L$7)</f>
        <v>0</v>
      </c>
      <c r="M19" s="63">
        <f>SUMIFS('Bank Statement Export'!$I:$I,'Bank Statement Export'!$C:$C,'Forecast 1'!$B19,'Bank Statement Export'!$A:$A,'Forecast 1'!M$7)</f>
        <v>0</v>
      </c>
      <c r="N19" s="63">
        <f>SUMIFS('Bank Statement Export'!$I:$I,'Bank Statement Export'!$C:$C,'Forecast 1'!$B19,'Bank Statement Export'!$A:$A,'Forecast 1'!N$7)</f>
        <v>0</v>
      </c>
      <c r="O19" s="63">
        <f>SUMIFS('Bank Statement Export'!$I:$I,'Bank Statement Export'!$C:$C,'Forecast 1'!$B19,'Bank Statement Export'!$A:$A,'Forecast 1'!O$7)</f>
        <v>0</v>
      </c>
      <c r="P19" s="63">
        <f>SUMIFS('Bank Statement Export'!$I:$I,'Bank Statement Export'!$C:$C,'Forecast 1'!$B19,'Bank Statement Export'!$A:$A,'Forecast 1'!P$7)</f>
        <v>0</v>
      </c>
      <c r="Q19" s="63">
        <f>SUMIFS('Bank Statement Export'!$I:$I,'Bank Statement Export'!$C:$C,'Forecast 1'!$B19,'Bank Statement Export'!$A:$A,'Forecast 1'!Q$7)</f>
        <v>0</v>
      </c>
      <c r="R19" s="63">
        <f>SUMIFS('Bank Statement Export'!$I:$I,'Bank Statement Export'!$C:$C,'Forecast 1'!$B19,'Bank Statement Export'!$A:$A,'Forecast 1'!R$7)</f>
        <v>0</v>
      </c>
      <c r="S19" s="63">
        <f>SUMIFS('Bank Statement Export'!$I:$I,'Bank Statement Export'!$C:$C,'Forecast 1'!$B19,'Bank Statement Export'!$A:$A,'Forecast 1'!S$7)</f>
        <v>0</v>
      </c>
      <c r="T19" s="63">
        <f>SUMIFS('Bank Statement Export'!$I:$I,'Bank Statement Export'!$C:$C,'Forecast 1'!$B19,'Bank Statement Export'!$A:$A,'Forecast 1'!T$7)</f>
        <v>0</v>
      </c>
      <c r="U19" s="63">
        <f>SUMIFS('Bank Statement Export'!$I:$I,'Bank Statement Export'!$C:$C,'Forecast 1'!$B19,'Bank Statement Export'!$A:$A,'Forecast 1'!U$7)</f>
        <v>0</v>
      </c>
      <c r="V19" s="63">
        <f>SUMIFS('Bank Statement Export'!$I:$I,'Bank Statement Export'!$C:$C,'Forecast 1'!$B19,'Bank Statement Export'!$A:$A,'Forecast 1'!V$7)</f>
        <v>0</v>
      </c>
    </row>
    <row r="20" spans="1:22" x14ac:dyDescent="0.2">
      <c r="A20" s="69"/>
      <c r="D20" s="32"/>
      <c r="E20" s="32"/>
      <c r="F20" s="32"/>
      <c r="G20" s="32"/>
      <c r="H20" s="32"/>
      <c r="I20" s="32"/>
      <c r="J20" s="32"/>
      <c r="K20" s="32"/>
      <c r="L20" s="32"/>
      <c r="M20" s="32"/>
      <c r="N20" s="32"/>
      <c r="O20" s="32"/>
      <c r="P20" s="32"/>
      <c r="Q20" s="32"/>
      <c r="R20" s="32"/>
      <c r="S20" s="32"/>
      <c r="T20" s="32"/>
      <c r="U20" s="32"/>
      <c r="V20" s="32"/>
    </row>
    <row r="21" spans="1:22" x14ac:dyDescent="0.2">
      <c r="A21" s="69"/>
      <c r="B21" s="20" t="s">
        <v>48</v>
      </c>
      <c r="C21" s="20"/>
      <c r="D21" s="37">
        <f>SUM(D18:D20)</f>
        <v>0</v>
      </c>
      <c r="E21" s="37">
        <f>SUM(E18:E20)</f>
        <v>372100</v>
      </c>
      <c r="F21" s="37">
        <f t="shared" ref="F21:V21" si="7">SUM(F18:F20)</f>
        <v>210150</v>
      </c>
      <c r="G21" s="37">
        <f t="shared" si="7"/>
        <v>0</v>
      </c>
      <c r="H21" s="37">
        <f t="shared" si="7"/>
        <v>361430</v>
      </c>
      <c r="I21" s="37">
        <f t="shared" si="7"/>
        <v>68440</v>
      </c>
      <c r="J21" s="37">
        <f t="shared" si="7"/>
        <v>330000</v>
      </c>
      <c r="K21" s="37">
        <f t="shared" si="7"/>
        <v>120000</v>
      </c>
      <c r="L21" s="37">
        <f t="shared" si="7"/>
        <v>454000</v>
      </c>
      <c r="M21" s="37">
        <f t="shared" si="7"/>
        <v>80000</v>
      </c>
      <c r="N21" s="37">
        <f t="shared" si="7"/>
        <v>100000</v>
      </c>
      <c r="O21" s="37">
        <f t="shared" si="7"/>
        <v>0</v>
      </c>
      <c r="P21" s="37">
        <f t="shared" si="7"/>
        <v>271800</v>
      </c>
      <c r="Q21" s="37">
        <f t="shared" si="7"/>
        <v>80000</v>
      </c>
      <c r="R21" s="37">
        <f t="shared" si="7"/>
        <v>198000</v>
      </c>
      <c r="S21" s="37">
        <f t="shared" si="7"/>
        <v>0</v>
      </c>
      <c r="T21" s="37">
        <f t="shared" si="7"/>
        <v>250000</v>
      </c>
      <c r="U21" s="37">
        <f t="shared" si="7"/>
        <v>325000</v>
      </c>
      <c r="V21" s="37">
        <f t="shared" si="7"/>
        <v>0</v>
      </c>
    </row>
    <row r="22" spans="1:22" x14ac:dyDescent="0.2">
      <c r="A22" s="69"/>
    </row>
    <row r="23" spans="1:22" x14ac:dyDescent="0.2">
      <c r="A23" s="69"/>
      <c r="B23" s="5" t="s">
        <v>49</v>
      </c>
      <c r="C23" s="5"/>
      <c r="D23" s="5"/>
      <c r="E23" s="5"/>
      <c r="F23" s="5"/>
      <c r="G23" s="5"/>
      <c r="H23" s="5"/>
      <c r="I23" s="5"/>
      <c r="J23" s="5"/>
      <c r="K23" s="5"/>
      <c r="L23" s="5"/>
      <c r="M23" s="5"/>
      <c r="N23" s="5"/>
      <c r="O23" s="5"/>
      <c r="P23" s="5"/>
      <c r="Q23" s="5"/>
      <c r="R23" s="5"/>
      <c r="S23" s="5"/>
      <c r="T23" s="5"/>
      <c r="U23" s="5"/>
      <c r="V23" s="5"/>
    </row>
    <row r="24" spans="1:22" x14ac:dyDescent="0.2">
      <c r="A24" s="69"/>
      <c r="B24" s="23" t="s">
        <v>51</v>
      </c>
      <c r="C24" s="23"/>
      <c r="D24" s="39">
        <f>SUMIFS('Bank Statement Export'!$I:$I,'Bank Statement Export'!$C:$C,'Forecast 1'!$B24,'Bank Statement Export'!$A:$A,'Forecast 1'!D$7)</f>
        <v>-33620</v>
      </c>
      <c r="E24" s="39">
        <f>SUMIFS('Bank Statement Export'!$I:$I,'Bank Statement Export'!$C:$C,'Forecast 1'!$B24,'Bank Statement Export'!$A:$A,'Forecast 1'!E$7)</f>
        <v>-83210</v>
      </c>
      <c r="F24" s="39">
        <f>SUMIFS('Bank Statement Export'!$I:$I,'Bank Statement Export'!$C:$C,'Forecast 1'!$B24,'Bank Statement Export'!$A:$A,'Forecast 1'!F$7)</f>
        <v>-69810</v>
      </c>
      <c r="G24" s="39">
        <f>SUMIFS('Bank Statement Export'!$I:$I,'Bank Statement Export'!$C:$C,'Forecast 1'!$B24,'Bank Statement Export'!$A:$A,'Forecast 1'!G$7)</f>
        <v>-40140</v>
      </c>
      <c r="H24" s="39">
        <f>SUMIFS('Bank Statement Export'!$I:$I,'Bank Statement Export'!$C:$C,'Forecast 1'!$B24,'Bank Statement Export'!$A:$A,'Forecast 1'!H$7)</f>
        <v>-18680</v>
      </c>
      <c r="I24" s="39">
        <f>SUMIFS('Bank Statement Export'!$I:$I,'Bank Statement Export'!$C:$C,'Forecast 1'!$B24,'Bank Statement Export'!$A:$A,'Forecast 1'!I$7)</f>
        <v>-88580</v>
      </c>
      <c r="J24" s="39">
        <f>-SUMIFS('AP Aging 01'!$B:$B,'AP Aging 01'!$A:$A,'Forecast 1'!J$7,'AP Aging 01'!$D:$D,"&lt;&gt;Yes")</f>
        <v>-800</v>
      </c>
      <c r="K24" s="39">
        <f>-SUMIFS('AP Aging 01'!$B:$B,'AP Aging 01'!$A:$A,'Forecast 1'!K$7,'AP Aging 01'!$D:$D,"&lt;&gt;Yes")</f>
        <v>-1800</v>
      </c>
      <c r="L24" s="39">
        <f>-SUMIFS('AP Aging 01'!$B:$B,'AP Aging 01'!$A:$A,'Forecast 1'!L$7,'AP Aging 01'!$D:$D,"&lt;&gt;Yes")</f>
        <v>-145800</v>
      </c>
      <c r="M24" s="39">
        <f>-SUMIFS('AP Aging 01'!$B:$B,'AP Aging 01'!$A:$A,'Forecast 1'!M$7,'AP Aging 01'!$D:$D,"&lt;&gt;Yes")</f>
        <v>0</v>
      </c>
      <c r="N24" s="39">
        <f>-SUMIFS('AP Aging 01'!$B:$B,'AP Aging 01'!$A:$A,'Forecast 1'!N$7,'AP Aging 01'!$D:$D,"&lt;&gt;Yes")</f>
        <v>0</v>
      </c>
      <c r="O24" s="39">
        <f>-SUMIFS('AP Aging 01'!$B:$B,'AP Aging 01'!$A:$A,'Forecast 1'!O$7,'AP Aging 01'!$D:$D,"&lt;&gt;Yes")</f>
        <v>0</v>
      </c>
      <c r="P24" s="39">
        <f>-SUMIFS('AP Aging 01'!$B:$B,'AP Aging 01'!$A:$A,'Forecast 1'!P$7,'AP Aging 01'!$D:$D,"&lt;&gt;Yes")</f>
        <v>0</v>
      </c>
      <c r="Q24" s="39">
        <f>-SUMIFS('AP Aging 01'!$B:$B,'AP Aging 01'!$A:$A,'Forecast 1'!Q$7,'AP Aging 01'!$D:$D,"&lt;&gt;Yes")</f>
        <v>0</v>
      </c>
      <c r="R24" s="39">
        <f>-SUMIFS('AP Aging 01'!$B:$B,'AP Aging 01'!$A:$A,'Forecast 1'!R$7,'AP Aging 01'!$D:$D,"&lt;&gt;Yes")</f>
        <v>0</v>
      </c>
      <c r="S24" s="39">
        <f>-SUMIFS('AP Aging 01'!$B:$B,'AP Aging 01'!$A:$A,'Forecast 1'!S$7,'AP Aging 01'!$D:$D,"&lt;&gt;Yes")</f>
        <v>-126900</v>
      </c>
      <c r="T24" s="39">
        <f>-SUMIFS('AP Aging 01'!$B:$B,'AP Aging 01'!$A:$A,'Forecast 1'!T$7,'AP Aging 01'!$D:$D,"&lt;&gt;Yes")</f>
        <v>-50000</v>
      </c>
      <c r="U24" s="39">
        <f>-SUMIFS('AP Aging 01'!$B:$B,'AP Aging 01'!$A:$A,'Forecast 1'!U$7,'AP Aging 01'!$D:$D,"&lt;&gt;Yes")</f>
        <v>-90000</v>
      </c>
      <c r="V24" s="39">
        <f>-SUMIFS('AP Aging 01'!$B:$B,'AP Aging 01'!$A:$A,'Forecast 1'!V$7,'AP Aging 01'!$D:$D,"&lt;&gt;Yes")</f>
        <v>0</v>
      </c>
    </row>
    <row r="25" spans="1:22" x14ac:dyDescent="0.2">
      <c r="A25" s="69"/>
      <c r="B25" s="23" t="s">
        <v>52</v>
      </c>
      <c r="C25" s="23"/>
      <c r="D25" s="39">
        <f>SUMIFS('Bank Statement Export'!$I:$I,'Bank Statement Export'!$C:$C,'Forecast 1'!$B25,'Bank Statement Export'!$A:$A,'Forecast 1'!D$7)</f>
        <v>0</v>
      </c>
      <c r="E25" s="39">
        <f>SUMIFS('Bank Statement Export'!$I:$I,'Bank Statement Export'!$C:$C,'Forecast 1'!$B25,'Bank Statement Export'!$A:$A,'Forecast 1'!E$7)</f>
        <v>-194090</v>
      </c>
      <c r="F25" s="39">
        <f>SUMIFS('Bank Statement Export'!$I:$I,'Bank Statement Export'!$C:$C,'Forecast 1'!$B25,'Bank Statement Export'!$A:$A,'Forecast 1'!F$7)</f>
        <v>0</v>
      </c>
      <c r="G25" s="39">
        <f>SUMIFS('Bank Statement Export'!$I:$I,'Bank Statement Export'!$C:$C,'Forecast 1'!$B25,'Bank Statement Export'!$A:$A,'Forecast 1'!G$7)</f>
        <v>-100000</v>
      </c>
      <c r="H25" s="39">
        <f>SUMIFS('Bank Statement Export'!$I:$I,'Bank Statement Export'!$C:$C,'Forecast 1'!$B25,'Bank Statement Export'!$A:$A,'Forecast 1'!H$7)</f>
        <v>0</v>
      </c>
      <c r="I25" s="39">
        <f>SUMIFS('Bank Statement Export'!$I:$I,'Bank Statement Export'!$C:$C,'Forecast 1'!$B25,'Bank Statement Export'!$A:$A,'Forecast 1'!I$7)</f>
        <v>-32000</v>
      </c>
      <c r="J25" s="39">
        <f>-SUMIFS('AP Aging 01'!$B:$B,'AP Aging 01'!$A:$A,'Forecast 1'!J$7,'AP Aging 01'!$D:$D,"Yes")</f>
        <v>-350000</v>
      </c>
      <c r="K25" s="39">
        <f>-SUMIFS('AP Aging 01'!$B:$B,'AP Aging 01'!$A:$A,'Forecast 1'!K$7,'AP Aging 01'!$D:$D,"Yes")</f>
        <v>0</v>
      </c>
      <c r="L25" s="39">
        <f>-SUMIFS('AP Aging 01'!$B:$B,'AP Aging 01'!$A:$A,'Forecast 1'!L$7,'AP Aging 01'!$D:$D,"Yes")</f>
        <v>0</v>
      </c>
      <c r="M25" s="39">
        <f>-SUMIFS('AP Aging 01'!$B:$B,'AP Aging 01'!$A:$A,'Forecast 1'!M$7,'AP Aging 01'!$D:$D,"Yes")</f>
        <v>0</v>
      </c>
      <c r="N25" s="39">
        <f>-SUMIFS('AP Aging 01'!$B:$B,'AP Aging 01'!$A:$A,'Forecast 1'!N$7,'AP Aging 01'!$D:$D,"Yes")</f>
        <v>-55000</v>
      </c>
      <c r="O25" s="39">
        <f>-SUMIFS('AP Aging 01'!$B:$B,'AP Aging 01'!$A:$A,'Forecast 1'!O$7,'AP Aging 01'!$D:$D,"Yes")</f>
        <v>0</v>
      </c>
      <c r="P25" s="39">
        <f>-SUMIFS('AP Aging 01'!$B:$B,'AP Aging 01'!$A:$A,'Forecast 1'!P$7,'AP Aging 01'!$D:$D,"Yes")</f>
        <v>0</v>
      </c>
      <c r="Q25" s="39">
        <f>-SUMIFS('AP Aging 01'!$B:$B,'AP Aging 01'!$A:$A,'Forecast 1'!Q$7,'AP Aging 01'!$D:$D,"Yes")</f>
        <v>0</v>
      </c>
      <c r="R25" s="39">
        <f>-SUMIFS('AP Aging 01'!$B:$B,'AP Aging 01'!$A:$A,'Forecast 1'!R$7,'AP Aging 01'!$D:$D,"Yes")</f>
        <v>-179500</v>
      </c>
      <c r="S25" s="39">
        <f>-SUMIFS('AP Aging 01'!$B:$B,'AP Aging 01'!$A:$A,'Forecast 1'!S$7,'AP Aging 01'!$D:$D,"Yes")</f>
        <v>0</v>
      </c>
      <c r="T25" s="39">
        <f>-SUMIFS('AP Aging 01'!$B:$B,'AP Aging 01'!$A:$A,'Forecast 1'!T$7,'AP Aging 01'!$D:$D,"Yes")</f>
        <v>0</v>
      </c>
      <c r="U25" s="39">
        <f>-SUMIFS('AP Aging 01'!$B:$B,'AP Aging 01'!$A:$A,'Forecast 1'!U$7,'AP Aging 01'!$D:$D,"Yes")</f>
        <v>0</v>
      </c>
      <c r="V25" s="39">
        <f>-SUMIFS('AP Aging 01'!$B:$B,'AP Aging 01'!$A:$A,'Forecast 1'!V$7,'AP Aging 01'!$D:$D,"Yes")</f>
        <v>-210000</v>
      </c>
    </row>
    <row r="26" spans="1:22" x14ac:dyDescent="0.2">
      <c r="A26" s="69"/>
      <c r="B26" s="23" t="s">
        <v>53</v>
      </c>
      <c r="C26" s="22" t="s">
        <v>54</v>
      </c>
      <c r="D26" s="39">
        <f>SUMIFS('Bank Statement Export'!$I:$I,'Bank Statement Export'!$C:$C,'Forecast 1'!$B26,'Bank Statement Export'!$A:$A,'Forecast 1'!D$7)</f>
        <v>-77830</v>
      </c>
      <c r="E26" s="39">
        <f>SUMIFS('Bank Statement Export'!$I:$I,'Bank Statement Export'!$C:$C,'Forecast 1'!$B26,'Bank Statement Export'!$A:$A,'Forecast 1'!E$7)</f>
        <v>-78050</v>
      </c>
      <c r="F26" s="39">
        <f>SUMIFS('Bank Statement Export'!$I:$I,'Bank Statement Export'!$C:$C,'Forecast 1'!$B26,'Bank Statement Export'!$A:$A,'Forecast 1'!F$7)</f>
        <v>-51670</v>
      </c>
      <c r="G26" s="39">
        <f>SUMIFS('Bank Statement Export'!$I:$I,'Bank Statement Export'!$C:$C,'Forecast 1'!$B26,'Bank Statement Export'!$A:$A,'Forecast 1'!G$7)</f>
        <v>-39960</v>
      </c>
      <c r="H26" s="39">
        <f>SUMIFS('Bank Statement Export'!$I:$I,'Bank Statement Export'!$C:$C,'Forecast 1'!$B26,'Bank Statement Export'!$A:$A,'Forecast 1'!H$7)</f>
        <v>-44380</v>
      </c>
      <c r="I26" s="39">
        <f>SUMIFS('Bank Statement Export'!$I:$I,'Bank Statement Export'!$C:$C,'Forecast 1'!$B26,'Bank Statement Export'!$A:$A,'Forecast 1'!I$7)</f>
        <v>-35340</v>
      </c>
      <c r="J26" s="39">
        <f>AVERAGE(D26:I26)</f>
        <v>-54538.333333333336</v>
      </c>
      <c r="K26" s="39">
        <f t="shared" ref="K26:V26" si="8">AVERAGE(E26:J26)</f>
        <v>-50656.388888888883</v>
      </c>
      <c r="L26" s="39">
        <f t="shared" si="8"/>
        <v>-46090.787037037044</v>
      </c>
      <c r="M26" s="39">
        <f t="shared" si="8"/>
        <v>-45160.918209876545</v>
      </c>
      <c r="N26" s="39">
        <f t="shared" si="8"/>
        <v>-46027.737911522643</v>
      </c>
      <c r="O26" s="39">
        <f t="shared" si="8"/>
        <v>-46302.360896776408</v>
      </c>
      <c r="P26" s="39">
        <f t="shared" si="8"/>
        <v>-48129.421046239149</v>
      </c>
      <c r="Q26" s="39">
        <f t="shared" si="8"/>
        <v>-47061.268998390115</v>
      </c>
      <c r="R26" s="39">
        <f t="shared" si="8"/>
        <v>-46462.082349973651</v>
      </c>
      <c r="S26" s="39">
        <f t="shared" si="8"/>
        <v>-46523.964902129752</v>
      </c>
      <c r="T26" s="39">
        <f t="shared" si="8"/>
        <v>-46751.139350838617</v>
      </c>
      <c r="U26" s="39">
        <f t="shared" si="8"/>
        <v>-46871.706257391284</v>
      </c>
      <c r="V26" s="39">
        <f t="shared" si="8"/>
        <v>-46966.597150827096</v>
      </c>
    </row>
    <row r="27" spans="1:22" x14ac:dyDescent="0.2">
      <c r="A27" s="69"/>
      <c r="B27" s="23" t="s">
        <v>55</v>
      </c>
      <c r="C27" s="22" t="s">
        <v>56</v>
      </c>
      <c r="D27" s="39">
        <f>SUMIFS('Bank Statement Export'!$I:$I,'Bank Statement Export'!$C:$C,'Forecast 1'!$B27,'Bank Statement Export'!$A:$A,'Forecast 1'!D$7)</f>
        <v>0</v>
      </c>
      <c r="E27" s="39">
        <f>SUMIFS('Bank Statement Export'!$I:$I,'Bank Statement Export'!$C:$C,'Forecast 1'!$B27,'Bank Statement Export'!$A:$A,'Forecast 1'!E$7)</f>
        <v>0</v>
      </c>
      <c r="F27" s="39">
        <f>SUMIFS('Bank Statement Export'!$I:$I,'Bank Statement Export'!$C:$C,'Forecast 1'!$B27,'Bank Statement Export'!$A:$A,'Forecast 1'!F$7)</f>
        <v>0</v>
      </c>
      <c r="G27" s="39">
        <f>SUMIFS('Bank Statement Export'!$I:$I,'Bank Statement Export'!$C:$C,'Forecast 1'!$B27,'Bank Statement Export'!$A:$A,'Forecast 1'!G$7)</f>
        <v>0</v>
      </c>
      <c r="H27" s="39">
        <f>SUMIFS('Bank Statement Export'!$I:$I,'Bank Statement Export'!$C:$C,'Forecast 1'!$B27,'Bank Statement Export'!$A:$A,'Forecast 1'!H$7)</f>
        <v>0</v>
      </c>
      <c r="I27" s="39">
        <f>SUMIFS('Bank Statement Export'!$I:$I,'Bank Statement Export'!$C:$C,'Forecast 1'!$B27,'Bank Statement Export'!$A:$A,'Forecast 1'!I$7)</f>
        <v>0</v>
      </c>
      <c r="J27" s="39">
        <v>0</v>
      </c>
      <c r="K27" s="39">
        <v>0</v>
      </c>
      <c r="L27" s="39">
        <v>0</v>
      </c>
      <c r="M27" s="39">
        <v>0</v>
      </c>
      <c r="N27" s="39">
        <v>0</v>
      </c>
      <c r="O27" s="39">
        <v>0</v>
      </c>
      <c r="P27" s="39">
        <v>0</v>
      </c>
      <c r="Q27" s="39">
        <v>0</v>
      </c>
      <c r="R27" s="39">
        <v>0</v>
      </c>
      <c r="S27" s="39">
        <v>0</v>
      </c>
      <c r="T27" s="39">
        <v>0</v>
      </c>
      <c r="U27" s="39">
        <v>0</v>
      </c>
      <c r="V27" s="39">
        <v>0</v>
      </c>
    </row>
    <row r="28" spans="1:22" x14ac:dyDescent="0.2">
      <c r="A28" s="69"/>
      <c r="B28" s="23" t="s">
        <v>57</v>
      </c>
      <c r="C28" s="22" t="s">
        <v>54</v>
      </c>
      <c r="D28" s="39">
        <f>SUMIFS('Bank Statement Export'!$I:$I,'Bank Statement Export'!$C:$C,'Forecast 1'!$B28,'Bank Statement Export'!$A:$A,'Forecast 1'!D$7)</f>
        <v>-310</v>
      </c>
      <c r="E28" s="39">
        <f>SUMIFS('Bank Statement Export'!$I:$I,'Bank Statement Export'!$C:$C,'Forecast 1'!$B28,'Bank Statement Export'!$A:$A,'Forecast 1'!E$7)</f>
        <v>-310</v>
      </c>
      <c r="F28" s="39">
        <f>SUMIFS('Bank Statement Export'!$I:$I,'Bank Statement Export'!$C:$C,'Forecast 1'!$B28,'Bank Statement Export'!$A:$A,'Forecast 1'!F$7)</f>
        <v>-310</v>
      </c>
      <c r="G28" s="39">
        <f>SUMIFS('Bank Statement Export'!$I:$I,'Bank Statement Export'!$C:$C,'Forecast 1'!$B28,'Bank Statement Export'!$A:$A,'Forecast 1'!G$7)</f>
        <v>-310</v>
      </c>
      <c r="H28" s="39">
        <f>SUMIFS('Bank Statement Export'!$I:$I,'Bank Statement Export'!$C:$C,'Forecast 1'!$B28,'Bank Statement Export'!$A:$A,'Forecast 1'!H$7)</f>
        <v>-310</v>
      </c>
      <c r="I28" s="39">
        <f>SUMIFS('Bank Statement Export'!$I:$I,'Bank Statement Export'!$C:$C,'Forecast 1'!$B28,'Bank Statement Export'!$A:$A,'Forecast 1'!I$7)</f>
        <v>-310</v>
      </c>
      <c r="J28" s="39">
        <f>AVERAGE(D28:I28)</f>
        <v>-310</v>
      </c>
      <c r="K28" s="39">
        <f t="shared" ref="K28:V28" si="9">AVERAGE(E28:J28)</f>
        <v>-310</v>
      </c>
      <c r="L28" s="39">
        <f t="shared" si="9"/>
        <v>-310</v>
      </c>
      <c r="M28" s="39">
        <f t="shared" si="9"/>
        <v>-310</v>
      </c>
      <c r="N28" s="39">
        <f t="shared" si="9"/>
        <v>-310</v>
      </c>
      <c r="O28" s="39">
        <f t="shared" si="9"/>
        <v>-310</v>
      </c>
      <c r="P28" s="39">
        <f t="shared" si="9"/>
        <v>-310</v>
      </c>
      <c r="Q28" s="39">
        <f t="shared" si="9"/>
        <v>-310</v>
      </c>
      <c r="R28" s="39">
        <f t="shared" si="9"/>
        <v>-310</v>
      </c>
      <c r="S28" s="39">
        <f t="shared" si="9"/>
        <v>-310</v>
      </c>
      <c r="T28" s="39">
        <f t="shared" si="9"/>
        <v>-310</v>
      </c>
      <c r="U28" s="39">
        <f t="shared" si="9"/>
        <v>-310</v>
      </c>
      <c r="V28" s="39">
        <f t="shared" si="9"/>
        <v>-310</v>
      </c>
    </row>
    <row r="29" spans="1:22" x14ac:dyDescent="0.2">
      <c r="A29" s="69"/>
      <c r="B29" s="23" t="s">
        <v>58</v>
      </c>
      <c r="C29" s="22" t="s">
        <v>56</v>
      </c>
      <c r="D29" s="39">
        <f>SUMIFS('Bank Statement Export'!$I:$I,'Bank Statement Export'!$C:$C,'Forecast 1'!$B29,'Bank Statement Export'!$A:$A,'Forecast 1'!D$7)</f>
        <v>0</v>
      </c>
      <c r="E29" s="39">
        <f>SUMIFS('Bank Statement Export'!$I:$I,'Bank Statement Export'!$C:$C,'Forecast 1'!$B29,'Bank Statement Export'!$A:$A,'Forecast 1'!E$7)</f>
        <v>0</v>
      </c>
      <c r="F29" s="39">
        <f>SUMIFS('Bank Statement Export'!$I:$I,'Bank Statement Export'!$C:$C,'Forecast 1'!$B29,'Bank Statement Export'!$A:$A,'Forecast 1'!F$7)</f>
        <v>0</v>
      </c>
      <c r="G29" s="39">
        <f>SUMIFS('Bank Statement Export'!$I:$I,'Bank Statement Export'!$C:$C,'Forecast 1'!$B29,'Bank Statement Export'!$A:$A,'Forecast 1'!G$7)</f>
        <v>0</v>
      </c>
      <c r="H29" s="39">
        <f>SUMIFS('Bank Statement Export'!$I:$I,'Bank Statement Export'!$C:$C,'Forecast 1'!$B29,'Bank Statement Export'!$A:$A,'Forecast 1'!H$7)</f>
        <v>0</v>
      </c>
      <c r="I29" s="39">
        <f>SUMIFS('Bank Statement Export'!$I:$I,'Bank Statement Export'!$C:$C,'Forecast 1'!$B29,'Bank Statement Export'!$A:$A,'Forecast 1'!I$7)</f>
        <v>0</v>
      </c>
      <c r="J29" s="39">
        <f>SUMIFS('Bank Statement Export'!$I:$I,'Bank Statement Export'!$C:$C,'Forecast 1'!$B29,'Bank Statement Export'!$A:$A,'Forecast 1'!J$7)</f>
        <v>0</v>
      </c>
      <c r="K29" s="39">
        <f>SUMIFS('Bank Statement Export'!$I:$I,'Bank Statement Export'!$C:$C,'Forecast 1'!$B29,'Bank Statement Export'!$A:$A,'Forecast 1'!K$7)</f>
        <v>0</v>
      </c>
      <c r="L29" s="39">
        <f>SUMIFS('Bank Statement Export'!$I:$I,'Bank Statement Export'!$C:$C,'Forecast 1'!$B29,'Bank Statement Export'!$A:$A,'Forecast 1'!L$7)</f>
        <v>0</v>
      </c>
      <c r="M29" s="39">
        <f>SUMIFS('Bank Statement Export'!$I:$I,'Bank Statement Export'!$C:$C,'Forecast 1'!$B29,'Bank Statement Export'!$A:$A,'Forecast 1'!M$7)</f>
        <v>0</v>
      </c>
      <c r="N29" s="39">
        <f>SUMIFS('Bank Statement Export'!$I:$I,'Bank Statement Export'!$C:$C,'Forecast 1'!$B29,'Bank Statement Export'!$A:$A,'Forecast 1'!N$7)</f>
        <v>0</v>
      </c>
      <c r="O29" s="39">
        <f>SUMIFS('Bank Statement Export'!$I:$I,'Bank Statement Export'!$C:$C,'Forecast 1'!$B29,'Bank Statement Export'!$A:$A,'Forecast 1'!O$7)</f>
        <v>0</v>
      </c>
      <c r="P29" s="39">
        <f>SUMIFS('Bank Statement Export'!$I:$I,'Bank Statement Export'!$C:$C,'Forecast 1'!$B29,'Bank Statement Export'!$A:$A,'Forecast 1'!P$7)</f>
        <v>0</v>
      </c>
      <c r="Q29" s="39">
        <f>SUMIFS('Bank Statement Export'!$I:$I,'Bank Statement Export'!$C:$C,'Forecast 1'!$B29,'Bank Statement Export'!$A:$A,'Forecast 1'!Q$7)</f>
        <v>0</v>
      </c>
      <c r="R29" s="39">
        <f>SUMIFS('Bank Statement Export'!$I:$I,'Bank Statement Export'!$C:$C,'Forecast 1'!$B29,'Bank Statement Export'!$A:$A,'Forecast 1'!R$7)</f>
        <v>0</v>
      </c>
      <c r="S29" s="39">
        <f>SUMIFS('Bank Statement Export'!$I:$I,'Bank Statement Export'!$C:$C,'Forecast 1'!$B29,'Bank Statement Export'!$A:$A,'Forecast 1'!S$7)</f>
        <v>0</v>
      </c>
      <c r="T29" s="39">
        <f>SUMIFS('Bank Statement Export'!$I:$I,'Bank Statement Export'!$C:$C,'Forecast 1'!$B29,'Bank Statement Export'!$A:$A,'Forecast 1'!T$7)</f>
        <v>0</v>
      </c>
      <c r="U29" s="39">
        <f>SUMIFS('Bank Statement Export'!$I:$I,'Bank Statement Export'!$C:$C,'Forecast 1'!$B29,'Bank Statement Export'!$A:$A,'Forecast 1'!U$7)</f>
        <v>0</v>
      </c>
      <c r="V29" s="39">
        <f>SUMIFS('Bank Statement Export'!$I:$I,'Bank Statement Export'!$C:$C,'Forecast 1'!$B29,'Bank Statement Export'!$A:$A,'Forecast 1'!V$7)</f>
        <v>0</v>
      </c>
    </row>
    <row r="30" spans="1:22" x14ac:dyDescent="0.2">
      <c r="A30" s="69"/>
      <c r="B30" s="23" t="s">
        <v>59</v>
      </c>
      <c r="C30" s="22" t="s">
        <v>54</v>
      </c>
      <c r="D30" s="39">
        <f>SUMIFS('Bank Statement Export'!$I:$I,'Bank Statement Export'!$C:$C,'Forecast 1'!$B30,'Bank Statement Export'!$A:$A,'Forecast 1'!D$7)</f>
        <v>0</v>
      </c>
      <c r="E30" s="39">
        <f>SUMIFS('Bank Statement Export'!$I:$I,'Bank Statement Export'!$C:$C,'Forecast 1'!$B30,'Bank Statement Export'!$A:$A,'Forecast 1'!E$7)</f>
        <v>-1350</v>
      </c>
      <c r="F30" s="39">
        <f>SUMIFS('Bank Statement Export'!$I:$I,'Bank Statement Export'!$C:$C,'Forecast 1'!$B30,'Bank Statement Export'!$A:$A,'Forecast 1'!F$7)</f>
        <v>0</v>
      </c>
      <c r="G30" s="39">
        <f>SUMIFS('Bank Statement Export'!$I:$I,'Bank Statement Export'!$C:$C,'Forecast 1'!$B30,'Bank Statement Export'!$A:$A,'Forecast 1'!G$7)</f>
        <v>0</v>
      </c>
      <c r="H30" s="39">
        <f>SUMIFS('Bank Statement Export'!$I:$I,'Bank Statement Export'!$C:$C,'Forecast 1'!$B30,'Bank Statement Export'!$A:$A,'Forecast 1'!H$7)</f>
        <v>-1350</v>
      </c>
      <c r="I30" s="39">
        <f>SUMIFS('Bank Statement Export'!$I:$I,'Bank Statement Export'!$C:$C,'Forecast 1'!$B30,'Bank Statement Export'!$A:$A,'Forecast 1'!I$7)</f>
        <v>-1350</v>
      </c>
      <c r="J30" s="39">
        <f>AVERAGE(D30:I30)</f>
        <v>-675</v>
      </c>
      <c r="K30" s="39">
        <f t="shared" ref="K30:K31" si="10">AVERAGE(E30:J30)</f>
        <v>-787.5</v>
      </c>
      <c r="L30" s="39">
        <f t="shared" ref="L30:L31" si="11">AVERAGE(F30:K30)</f>
        <v>-693.75</v>
      </c>
      <c r="M30" s="39">
        <f t="shared" ref="M30:M31" si="12">AVERAGE(G30:L30)</f>
        <v>-809.375</v>
      </c>
      <c r="N30" s="39">
        <f t="shared" ref="N30:N31" si="13">AVERAGE(H30:M30)</f>
        <v>-944.27083333333337</v>
      </c>
      <c r="O30" s="39">
        <f t="shared" ref="O30:O31" si="14">AVERAGE(I30:N30)</f>
        <v>-876.64930555555554</v>
      </c>
      <c r="P30" s="39">
        <f t="shared" ref="P30:P31" si="15">AVERAGE(J30:O30)</f>
        <v>-797.75752314814815</v>
      </c>
      <c r="Q30" s="39">
        <f t="shared" ref="Q30:Q31" si="16">AVERAGE(K30:P30)</f>
        <v>-818.21711033950612</v>
      </c>
      <c r="R30" s="39">
        <f t="shared" ref="R30:R31" si="17">AVERAGE(L30:Q30)</f>
        <v>-823.33662872942386</v>
      </c>
      <c r="S30" s="39">
        <f t="shared" ref="S30:S31" si="18">AVERAGE(M30:R30)</f>
        <v>-844.93440018432784</v>
      </c>
      <c r="T30" s="39">
        <f t="shared" ref="T30:T31" si="19">AVERAGE(N30:S30)</f>
        <v>-850.86096688171585</v>
      </c>
      <c r="U30" s="39">
        <f t="shared" ref="U30:U31" si="20">AVERAGE(O30:T30)</f>
        <v>-835.29265580644631</v>
      </c>
      <c r="V30" s="39">
        <f t="shared" ref="V30:V31" si="21">AVERAGE(P30:U30)</f>
        <v>-828.39988084826143</v>
      </c>
    </row>
    <row r="31" spans="1:22" x14ac:dyDescent="0.2">
      <c r="A31" s="69"/>
      <c r="B31" s="23" t="s">
        <v>60</v>
      </c>
      <c r="C31" s="22" t="s">
        <v>54</v>
      </c>
      <c r="D31" s="39">
        <f>SUMIFS('Bank Statement Export'!$I:$I,'Bank Statement Export'!$C:$C,'Forecast 1'!$B31,'Bank Statement Export'!$A:$A,'Forecast 1'!D$7)</f>
        <v>0</v>
      </c>
      <c r="E31" s="39">
        <f>SUMIFS('Bank Statement Export'!$I:$I,'Bank Statement Export'!$C:$C,'Forecast 1'!$B31,'Bank Statement Export'!$A:$A,'Forecast 1'!E$7)</f>
        <v>-1510</v>
      </c>
      <c r="F31" s="39">
        <f>SUMIFS('Bank Statement Export'!$I:$I,'Bank Statement Export'!$C:$C,'Forecast 1'!$B31,'Bank Statement Export'!$A:$A,'Forecast 1'!F$7)</f>
        <v>-1020</v>
      </c>
      <c r="G31" s="39">
        <f>SUMIFS('Bank Statement Export'!$I:$I,'Bank Statement Export'!$C:$C,'Forecast 1'!$B31,'Bank Statement Export'!$A:$A,'Forecast 1'!G$7)</f>
        <v>0</v>
      </c>
      <c r="H31" s="39">
        <f>SUMIFS('Bank Statement Export'!$I:$I,'Bank Statement Export'!$C:$C,'Forecast 1'!$B31,'Bank Statement Export'!$A:$A,'Forecast 1'!H$7)</f>
        <v>0</v>
      </c>
      <c r="I31" s="39">
        <f>SUMIFS('Bank Statement Export'!$I:$I,'Bank Statement Export'!$C:$C,'Forecast 1'!$B31,'Bank Statement Export'!$A:$A,'Forecast 1'!I$7)</f>
        <v>-1510</v>
      </c>
      <c r="J31" s="39">
        <f>AVERAGE(D31:I31)</f>
        <v>-673.33333333333337</v>
      </c>
      <c r="K31" s="39">
        <f t="shared" si="10"/>
        <v>-785.55555555555554</v>
      </c>
      <c r="L31" s="39">
        <f t="shared" si="11"/>
        <v>-664.81481481481489</v>
      </c>
      <c r="M31" s="39">
        <f t="shared" si="12"/>
        <v>-605.61728395061732</v>
      </c>
      <c r="N31" s="39">
        <f t="shared" si="13"/>
        <v>-706.55349794238691</v>
      </c>
      <c r="O31" s="39">
        <f t="shared" si="14"/>
        <v>-824.31241426611814</v>
      </c>
      <c r="P31" s="39">
        <f t="shared" si="15"/>
        <v>-710.03114997713783</v>
      </c>
      <c r="Q31" s="39">
        <f t="shared" si="16"/>
        <v>-716.14745275110511</v>
      </c>
      <c r="R31" s="39">
        <f t="shared" si="17"/>
        <v>-704.57943561703007</v>
      </c>
      <c r="S31" s="39">
        <f t="shared" si="18"/>
        <v>-711.20687241739927</v>
      </c>
      <c r="T31" s="39">
        <f t="shared" si="19"/>
        <v>-728.80513716186294</v>
      </c>
      <c r="U31" s="39">
        <f t="shared" si="20"/>
        <v>-732.51374369844223</v>
      </c>
      <c r="V31" s="39">
        <f t="shared" si="21"/>
        <v>-717.21396527049626</v>
      </c>
    </row>
    <row r="32" spans="1:22" x14ac:dyDescent="0.2">
      <c r="A32" s="69"/>
      <c r="B32" s="23" t="s">
        <v>61</v>
      </c>
      <c r="C32" s="22" t="s">
        <v>56</v>
      </c>
      <c r="D32" s="39">
        <f>SUMIFS('Bank Statement Export'!$I:$I,'Bank Statement Export'!$C:$C,'Forecast 1'!$B32,'Bank Statement Export'!$A:$A,'Forecast 1'!D$7)</f>
        <v>0</v>
      </c>
      <c r="E32" s="39">
        <f>SUMIFS('Bank Statement Export'!$I:$I,'Bank Statement Export'!$C:$C,'Forecast 1'!$B32,'Bank Statement Export'!$A:$A,'Forecast 1'!E$7)</f>
        <v>0</v>
      </c>
      <c r="F32" s="39">
        <f>SUMIFS('Bank Statement Export'!$I:$I,'Bank Statement Export'!$C:$C,'Forecast 1'!$B32,'Bank Statement Export'!$A:$A,'Forecast 1'!F$7)</f>
        <v>0</v>
      </c>
      <c r="G32" s="39">
        <f>SUMIFS('Bank Statement Export'!$I:$I,'Bank Statement Export'!$C:$C,'Forecast 1'!$B32,'Bank Statement Export'!$A:$A,'Forecast 1'!G$7)</f>
        <v>0</v>
      </c>
      <c r="H32" s="39">
        <f>SUMIFS('Bank Statement Export'!$I:$I,'Bank Statement Export'!$C:$C,'Forecast 1'!$B32,'Bank Statement Export'!$A:$A,'Forecast 1'!H$7)</f>
        <v>0</v>
      </c>
      <c r="I32" s="39">
        <f>SUMIFS('Bank Statement Export'!$I:$I,'Bank Statement Export'!$C:$C,'Forecast 1'!$B32,'Bank Statement Export'!$A:$A,'Forecast 1'!I$7)</f>
        <v>0</v>
      </c>
      <c r="J32" s="39">
        <f>SUMIFS('Bank Statement Export'!$I:$I,'Bank Statement Export'!$C:$C,'Forecast 1'!$B32,'Bank Statement Export'!$A:$A,'Forecast 1'!J$7)</f>
        <v>0</v>
      </c>
      <c r="K32" s="39">
        <f>SUMIFS('Bank Statement Export'!$I:$I,'Bank Statement Export'!$C:$C,'Forecast 1'!$B32,'Bank Statement Export'!$A:$A,'Forecast 1'!K$7)</f>
        <v>0</v>
      </c>
      <c r="L32" s="39">
        <f>SUMIFS('Bank Statement Export'!$I:$I,'Bank Statement Export'!$C:$C,'Forecast 1'!$B32,'Bank Statement Export'!$A:$A,'Forecast 1'!L$7)</f>
        <v>0</v>
      </c>
      <c r="M32" s="39">
        <f>SUMIFS('Bank Statement Export'!$I:$I,'Bank Statement Export'!$C:$C,'Forecast 1'!$B32,'Bank Statement Export'!$A:$A,'Forecast 1'!M$7)</f>
        <v>0</v>
      </c>
      <c r="N32" s="39">
        <f>SUMIFS('Bank Statement Export'!$I:$I,'Bank Statement Export'!$C:$C,'Forecast 1'!$B32,'Bank Statement Export'!$A:$A,'Forecast 1'!N$7)</f>
        <v>0</v>
      </c>
      <c r="O32" s="39">
        <f>SUMIFS('Bank Statement Export'!$I:$I,'Bank Statement Export'!$C:$C,'Forecast 1'!$B32,'Bank Statement Export'!$A:$A,'Forecast 1'!O$7)</f>
        <v>0</v>
      </c>
      <c r="P32" s="39">
        <f>SUMIFS('Bank Statement Export'!$I:$I,'Bank Statement Export'!$C:$C,'Forecast 1'!$B32,'Bank Statement Export'!$A:$A,'Forecast 1'!P$7)</f>
        <v>0</v>
      </c>
      <c r="Q32" s="39">
        <f>SUMIFS('Bank Statement Export'!$I:$I,'Bank Statement Export'!$C:$C,'Forecast 1'!$B32,'Bank Statement Export'!$A:$A,'Forecast 1'!Q$7)</f>
        <v>0</v>
      </c>
      <c r="R32" s="39">
        <f>SUMIFS('Bank Statement Export'!$I:$I,'Bank Statement Export'!$C:$C,'Forecast 1'!$B32,'Bank Statement Export'!$A:$A,'Forecast 1'!R$7)</f>
        <v>0</v>
      </c>
      <c r="S32" s="39">
        <f>SUMIFS('Bank Statement Export'!$I:$I,'Bank Statement Export'!$C:$C,'Forecast 1'!$B32,'Bank Statement Export'!$A:$A,'Forecast 1'!S$7)</f>
        <v>0</v>
      </c>
      <c r="T32" s="39">
        <f>SUMIFS('Bank Statement Export'!$I:$I,'Bank Statement Export'!$C:$C,'Forecast 1'!$B32,'Bank Statement Export'!$A:$A,'Forecast 1'!T$7)</f>
        <v>0</v>
      </c>
      <c r="U32" s="39">
        <f>SUMIFS('Bank Statement Export'!$I:$I,'Bank Statement Export'!$C:$C,'Forecast 1'!$B32,'Bank Statement Export'!$A:$A,'Forecast 1'!U$7)</f>
        <v>0</v>
      </c>
      <c r="V32" s="39">
        <f>SUMIFS('Bank Statement Export'!$I:$I,'Bank Statement Export'!$C:$C,'Forecast 1'!$B32,'Bank Statement Export'!$A:$A,'Forecast 1'!V$7)</f>
        <v>0</v>
      </c>
    </row>
    <row r="33" spans="1:22" x14ac:dyDescent="0.2">
      <c r="A33" s="69"/>
      <c r="B33" s="23" t="s">
        <v>62</v>
      </c>
      <c r="C33" s="22" t="s">
        <v>63</v>
      </c>
      <c r="D33" s="39">
        <f>SUMIFS('Bank Statement Export'!$I:$I,'Bank Statement Export'!$C:$C,'Forecast 1'!$B33,'Bank Statement Export'!$A:$A,'Forecast 1'!D$7)</f>
        <v>0</v>
      </c>
      <c r="E33" s="39">
        <f>SUMIFS('Bank Statement Export'!$I:$I,'Bank Statement Export'!$C:$C,'Forecast 1'!$B33,'Bank Statement Export'!$A:$A,'Forecast 1'!E$7)</f>
        <v>-5000</v>
      </c>
      <c r="F33" s="39">
        <f>SUMIFS('Bank Statement Export'!$I:$I,'Bank Statement Export'!$C:$C,'Forecast 1'!$B33,'Bank Statement Export'!$A:$A,'Forecast 1'!F$7)</f>
        <v>0</v>
      </c>
      <c r="G33" s="39">
        <f>SUMIFS('Bank Statement Export'!$I:$I,'Bank Statement Export'!$C:$C,'Forecast 1'!$B33,'Bank Statement Export'!$A:$A,'Forecast 1'!G$7)</f>
        <v>0</v>
      </c>
      <c r="H33" s="39">
        <f>SUMIFS('Bank Statement Export'!$I:$I,'Bank Statement Export'!$C:$C,'Forecast 1'!$B33,'Bank Statement Export'!$A:$A,'Forecast 1'!H$7)</f>
        <v>0</v>
      </c>
      <c r="I33" s="39">
        <f>SUMIFS('Bank Statement Export'!$I:$I,'Bank Statement Export'!$C:$C,'Forecast 1'!$B33,'Bank Statement Export'!$A:$A,'Forecast 1'!I$7)</f>
        <v>0</v>
      </c>
      <c r="J33" s="39">
        <v>-5000</v>
      </c>
      <c r="K33" s="39">
        <f>SUMIFS('Bank Statement Export'!$I:$I,'Bank Statement Export'!$C:$C,'Forecast 1'!$B33,'Bank Statement Export'!$A:$A,'Forecast 1'!K$7)</f>
        <v>0</v>
      </c>
      <c r="L33" s="39">
        <f>SUMIFS('Bank Statement Export'!$I:$I,'Bank Statement Export'!$C:$C,'Forecast 1'!$B33,'Bank Statement Export'!$A:$A,'Forecast 1'!L$7)</f>
        <v>0</v>
      </c>
      <c r="M33" s="39">
        <f>SUMIFS('Bank Statement Export'!$I:$I,'Bank Statement Export'!$C:$C,'Forecast 1'!$B33,'Bank Statement Export'!$A:$A,'Forecast 1'!M$7)</f>
        <v>0</v>
      </c>
      <c r="N33" s="39">
        <v>-5000</v>
      </c>
      <c r="O33" s="39">
        <f>SUMIFS('Bank Statement Export'!$I:$I,'Bank Statement Export'!$C:$C,'Forecast 1'!$B33,'Bank Statement Export'!$A:$A,'Forecast 1'!O$7)</f>
        <v>0</v>
      </c>
      <c r="P33" s="39">
        <f>SUMIFS('Bank Statement Export'!$I:$I,'Bank Statement Export'!$C:$C,'Forecast 1'!$B33,'Bank Statement Export'!$A:$A,'Forecast 1'!P$7)</f>
        <v>0</v>
      </c>
      <c r="Q33" s="39">
        <f>SUMIFS('Bank Statement Export'!$I:$I,'Bank Statement Export'!$C:$C,'Forecast 1'!$B33,'Bank Statement Export'!$A:$A,'Forecast 1'!Q$7)</f>
        <v>0</v>
      </c>
      <c r="R33" s="39">
        <v>-5000</v>
      </c>
      <c r="S33" s="39">
        <f>SUMIFS('Bank Statement Export'!$I:$I,'Bank Statement Export'!$C:$C,'Forecast 1'!$B33,'Bank Statement Export'!$A:$A,'Forecast 1'!S$7)</f>
        <v>0</v>
      </c>
      <c r="T33" s="39">
        <f>SUMIFS('Bank Statement Export'!$I:$I,'Bank Statement Export'!$C:$C,'Forecast 1'!$B33,'Bank Statement Export'!$A:$A,'Forecast 1'!T$7)</f>
        <v>0</v>
      </c>
      <c r="U33" s="39">
        <f>SUMIFS('Bank Statement Export'!$I:$I,'Bank Statement Export'!$C:$C,'Forecast 1'!$B33,'Bank Statement Export'!$A:$A,'Forecast 1'!U$7)</f>
        <v>0</v>
      </c>
      <c r="V33" s="39">
        <v>-5000</v>
      </c>
    </row>
    <row r="34" spans="1:22" x14ac:dyDescent="0.2">
      <c r="A34" s="69"/>
      <c r="B34" s="23" t="s">
        <v>64</v>
      </c>
      <c r="C34" s="22" t="s">
        <v>56</v>
      </c>
      <c r="D34" s="39">
        <f>SUMIFS('Bank Statement Export'!$I:$I,'Bank Statement Export'!$C:$C,'Forecast 1'!$B34,'Bank Statement Export'!$A:$A,'Forecast 1'!D$7)</f>
        <v>0</v>
      </c>
      <c r="E34" s="39">
        <f>SUMIFS('Bank Statement Export'!$I:$I,'Bank Statement Export'!$C:$C,'Forecast 1'!$B34,'Bank Statement Export'!$A:$A,'Forecast 1'!E$7)</f>
        <v>0</v>
      </c>
      <c r="F34" s="39">
        <f>SUMIFS('Bank Statement Export'!$I:$I,'Bank Statement Export'!$C:$C,'Forecast 1'!$B34,'Bank Statement Export'!$A:$A,'Forecast 1'!F$7)</f>
        <v>0</v>
      </c>
      <c r="G34" s="39">
        <f>SUMIFS('Bank Statement Export'!$I:$I,'Bank Statement Export'!$C:$C,'Forecast 1'!$B34,'Bank Statement Export'!$A:$A,'Forecast 1'!G$7)</f>
        <v>0</v>
      </c>
      <c r="H34" s="39">
        <f>SUMIFS('Bank Statement Export'!$I:$I,'Bank Statement Export'!$C:$C,'Forecast 1'!$B34,'Bank Statement Export'!$A:$A,'Forecast 1'!H$7)</f>
        <v>0</v>
      </c>
      <c r="I34" s="39">
        <f>SUMIFS('Bank Statement Export'!$I:$I,'Bank Statement Export'!$C:$C,'Forecast 1'!$B34,'Bank Statement Export'!$A:$A,'Forecast 1'!I$7)</f>
        <v>0</v>
      </c>
      <c r="J34" s="39">
        <f>SUMIFS('Bank Statement Export'!$I:$I,'Bank Statement Export'!$C:$C,'Forecast 1'!$B34,'Bank Statement Export'!$A:$A,'Forecast 1'!J$7)</f>
        <v>0</v>
      </c>
      <c r="K34" s="39">
        <f>SUMIFS('Bank Statement Export'!$I:$I,'Bank Statement Export'!$C:$C,'Forecast 1'!$B34,'Bank Statement Export'!$A:$A,'Forecast 1'!K$7)</f>
        <v>0</v>
      </c>
      <c r="L34" s="39">
        <f>SUMIFS('Bank Statement Export'!$I:$I,'Bank Statement Export'!$C:$C,'Forecast 1'!$B34,'Bank Statement Export'!$A:$A,'Forecast 1'!L$7)</f>
        <v>0</v>
      </c>
      <c r="M34" s="39">
        <f>SUMIFS('Bank Statement Export'!$I:$I,'Bank Statement Export'!$C:$C,'Forecast 1'!$B34,'Bank Statement Export'!$A:$A,'Forecast 1'!M$7)</f>
        <v>0</v>
      </c>
      <c r="N34" s="39">
        <f>SUMIFS('Bank Statement Export'!$I:$I,'Bank Statement Export'!$C:$C,'Forecast 1'!$B34,'Bank Statement Export'!$A:$A,'Forecast 1'!N$7)</f>
        <v>0</v>
      </c>
      <c r="O34" s="39">
        <f>SUMIFS('Bank Statement Export'!$I:$I,'Bank Statement Export'!$C:$C,'Forecast 1'!$B34,'Bank Statement Export'!$A:$A,'Forecast 1'!O$7)</f>
        <v>0</v>
      </c>
      <c r="P34" s="39">
        <f>SUMIFS('Bank Statement Export'!$I:$I,'Bank Statement Export'!$C:$C,'Forecast 1'!$B34,'Bank Statement Export'!$A:$A,'Forecast 1'!P$7)</f>
        <v>0</v>
      </c>
      <c r="Q34" s="39">
        <f>SUMIFS('Bank Statement Export'!$I:$I,'Bank Statement Export'!$C:$C,'Forecast 1'!$B34,'Bank Statement Export'!$A:$A,'Forecast 1'!Q$7)</f>
        <v>0</v>
      </c>
      <c r="R34" s="39">
        <f>SUMIFS('Bank Statement Export'!$I:$I,'Bank Statement Export'!$C:$C,'Forecast 1'!$B34,'Bank Statement Export'!$A:$A,'Forecast 1'!R$7)</f>
        <v>0</v>
      </c>
      <c r="S34" s="39">
        <f>SUMIFS('Bank Statement Export'!$I:$I,'Bank Statement Export'!$C:$C,'Forecast 1'!$B34,'Bank Statement Export'!$A:$A,'Forecast 1'!S$7)</f>
        <v>0</v>
      </c>
      <c r="T34" s="39">
        <f>SUMIFS('Bank Statement Export'!$I:$I,'Bank Statement Export'!$C:$C,'Forecast 1'!$B34,'Bank Statement Export'!$A:$A,'Forecast 1'!T$7)</f>
        <v>0</v>
      </c>
      <c r="U34" s="39">
        <f>SUMIFS('Bank Statement Export'!$I:$I,'Bank Statement Export'!$C:$C,'Forecast 1'!$B34,'Bank Statement Export'!$A:$A,'Forecast 1'!U$7)</f>
        <v>0</v>
      </c>
      <c r="V34" s="39">
        <f>SUMIFS('Bank Statement Export'!$I:$I,'Bank Statement Export'!$C:$C,'Forecast 1'!$B34,'Bank Statement Export'!$A:$A,'Forecast 1'!V$7)</f>
        <v>0</v>
      </c>
    </row>
    <row r="35" spans="1:22" x14ac:dyDescent="0.2">
      <c r="A35" s="69"/>
      <c r="B35" s="23" t="s">
        <v>65</v>
      </c>
      <c r="C35" s="22" t="s">
        <v>56</v>
      </c>
      <c r="D35" s="39">
        <f>SUMIFS('Bank Statement Export'!$I:$I,'Bank Statement Export'!$C:$C,'Forecast 1'!$B35,'Bank Statement Export'!$A:$A,'Forecast 1'!D$7)</f>
        <v>0</v>
      </c>
      <c r="E35" s="39">
        <f>SUMIFS('Bank Statement Export'!$I:$I,'Bank Statement Export'!$C:$C,'Forecast 1'!$B35,'Bank Statement Export'!$A:$A,'Forecast 1'!E$7)</f>
        <v>0</v>
      </c>
      <c r="F35" s="39">
        <f>SUMIFS('Bank Statement Export'!$I:$I,'Bank Statement Export'!$C:$C,'Forecast 1'!$B35,'Bank Statement Export'!$A:$A,'Forecast 1'!F$7)</f>
        <v>0</v>
      </c>
      <c r="G35" s="39">
        <f>SUMIFS('Bank Statement Export'!$I:$I,'Bank Statement Export'!$C:$C,'Forecast 1'!$B35,'Bank Statement Export'!$A:$A,'Forecast 1'!G$7)</f>
        <v>0</v>
      </c>
      <c r="H35" s="39">
        <f>SUMIFS('Bank Statement Export'!$I:$I,'Bank Statement Export'!$C:$C,'Forecast 1'!$B35,'Bank Statement Export'!$A:$A,'Forecast 1'!H$7)</f>
        <v>0</v>
      </c>
      <c r="I35" s="39">
        <f>SUMIFS('Bank Statement Export'!$I:$I,'Bank Statement Export'!$C:$C,'Forecast 1'!$B35,'Bank Statement Export'!$A:$A,'Forecast 1'!I$7)</f>
        <v>0</v>
      </c>
      <c r="J35" s="39">
        <f>SUMIFS('Bank Statement Export'!$I:$I,'Bank Statement Export'!$C:$C,'Forecast 1'!$B35,'Bank Statement Export'!$A:$A,'Forecast 1'!J$7)</f>
        <v>0</v>
      </c>
      <c r="K35" s="39">
        <f>SUMIFS('Bank Statement Export'!$I:$I,'Bank Statement Export'!$C:$C,'Forecast 1'!$B35,'Bank Statement Export'!$A:$A,'Forecast 1'!K$7)</f>
        <v>0</v>
      </c>
      <c r="L35" s="39">
        <f>SUMIFS('Bank Statement Export'!$I:$I,'Bank Statement Export'!$C:$C,'Forecast 1'!$B35,'Bank Statement Export'!$A:$A,'Forecast 1'!L$7)</f>
        <v>0</v>
      </c>
      <c r="M35" s="39">
        <f>SUMIFS('Bank Statement Export'!$I:$I,'Bank Statement Export'!$C:$C,'Forecast 1'!$B35,'Bank Statement Export'!$A:$A,'Forecast 1'!M$7)</f>
        <v>0</v>
      </c>
      <c r="N35" s="39">
        <f>SUMIFS('Bank Statement Export'!$I:$I,'Bank Statement Export'!$C:$C,'Forecast 1'!$B35,'Bank Statement Export'!$A:$A,'Forecast 1'!N$7)</f>
        <v>0</v>
      </c>
      <c r="O35" s="39">
        <f>SUMIFS('Bank Statement Export'!$I:$I,'Bank Statement Export'!$C:$C,'Forecast 1'!$B35,'Bank Statement Export'!$A:$A,'Forecast 1'!O$7)</f>
        <v>0</v>
      </c>
      <c r="P35" s="39">
        <f>SUMIFS('Bank Statement Export'!$I:$I,'Bank Statement Export'!$C:$C,'Forecast 1'!$B35,'Bank Statement Export'!$A:$A,'Forecast 1'!P$7)</f>
        <v>0</v>
      </c>
      <c r="Q35" s="39">
        <f>SUMIFS('Bank Statement Export'!$I:$I,'Bank Statement Export'!$C:$C,'Forecast 1'!$B35,'Bank Statement Export'!$A:$A,'Forecast 1'!Q$7)</f>
        <v>0</v>
      </c>
      <c r="R35" s="39">
        <f>SUMIFS('Bank Statement Export'!$I:$I,'Bank Statement Export'!$C:$C,'Forecast 1'!$B35,'Bank Statement Export'!$A:$A,'Forecast 1'!R$7)</f>
        <v>0</v>
      </c>
      <c r="S35" s="39">
        <f>SUMIFS('Bank Statement Export'!$I:$I,'Bank Statement Export'!$C:$C,'Forecast 1'!$B35,'Bank Statement Export'!$A:$A,'Forecast 1'!S$7)</f>
        <v>0</v>
      </c>
      <c r="T35" s="39">
        <f>SUMIFS('Bank Statement Export'!$I:$I,'Bank Statement Export'!$C:$C,'Forecast 1'!$B35,'Bank Statement Export'!$A:$A,'Forecast 1'!T$7)</f>
        <v>0</v>
      </c>
      <c r="U35" s="39">
        <f>SUMIFS('Bank Statement Export'!$I:$I,'Bank Statement Export'!$C:$C,'Forecast 1'!$B35,'Bank Statement Export'!$A:$A,'Forecast 1'!U$7)</f>
        <v>0</v>
      </c>
      <c r="V35" s="39">
        <f>SUMIFS('Bank Statement Export'!$I:$I,'Bank Statement Export'!$C:$C,'Forecast 1'!$B35,'Bank Statement Export'!$A:$A,'Forecast 1'!V$7)</f>
        <v>0</v>
      </c>
    </row>
    <row r="36" spans="1:22" x14ac:dyDescent="0.2">
      <c r="A36" s="69"/>
      <c r="B36" s="23" t="s">
        <v>66</v>
      </c>
      <c r="C36" s="22" t="s">
        <v>56</v>
      </c>
      <c r="D36" s="39">
        <f>SUMIFS('Bank Statement Export'!$I:$I,'Bank Statement Export'!$C:$C,'Forecast 1'!$B36,'Bank Statement Export'!$A:$A,'Forecast 1'!D$7)</f>
        <v>0</v>
      </c>
      <c r="E36" s="39">
        <f>SUMIFS('Bank Statement Export'!$I:$I,'Bank Statement Export'!$C:$C,'Forecast 1'!$B36,'Bank Statement Export'!$A:$A,'Forecast 1'!E$7)</f>
        <v>0</v>
      </c>
      <c r="F36" s="39">
        <f>SUMIFS('Bank Statement Export'!$I:$I,'Bank Statement Export'!$C:$C,'Forecast 1'!$B36,'Bank Statement Export'!$A:$A,'Forecast 1'!F$7)</f>
        <v>0</v>
      </c>
      <c r="G36" s="39">
        <f>SUMIFS('Bank Statement Export'!$I:$I,'Bank Statement Export'!$C:$C,'Forecast 1'!$B36,'Bank Statement Export'!$A:$A,'Forecast 1'!G$7)</f>
        <v>0</v>
      </c>
      <c r="H36" s="39">
        <f>SUMIFS('Bank Statement Export'!$I:$I,'Bank Statement Export'!$C:$C,'Forecast 1'!$B36,'Bank Statement Export'!$A:$A,'Forecast 1'!H$7)</f>
        <v>0</v>
      </c>
      <c r="I36" s="39">
        <f>SUMIFS('Bank Statement Export'!$I:$I,'Bank Statement Export'!$C:$C,'Forecast 1'!$B36,'Bank Statement Export'!$A:$A,'Forecast 1'!I$7)</f>
        <v>0</v>
      </c>
      <c r="J36" s="39">
        <f>SUMIFS('Bank Statement Export'!$I:$I,'Bank Statement Export'!$C:$C,'Forecast 1'!$B36,'Bank Statement Export'!$A:$A,'Forecast 1'!J$7)</f>
        <v>0</v>
      </c>
      <c r="K36" s="39">
        <f>SUMIFS('Bank Statement Export'!$I:$I,'Bank Statement Export'!$C:$C,'Forecast 1'!$B36,'Bank Statement Export'!$A:$A,'Forecast 1'!K$7)</f>
        <v>0</v>
      </c>
      <c r="L36" s="39">
        <f>SUMIFS('Bank Statement Export'!$I:$I,'Bank Statement Export'!$C:$C,'Forecast 1'!$B36,'Bank Statement Export'!$A:$A,'Forecast 1'!L$7)</f>
        <v>0</v>
      </c>
      <c r="M36" s="39">
        <f>SUMIFS('Bank Statement Export'!$I:$I,'Bank Statement Export'!$C:$C,'Forecast 1'!$B36,'Bank Statement Export'!$A:$A,'Forecast 1'!M$7)</f>
        <v>0</v>
      </c>
      <c r="N36" s="39">
        <f>SUMIFS('Bank Statement Export'!$I:$I,'Bank Statement Export'!$C:$C,'Forecast 1'!$B36,'Bank Statement Export'!$A:$A,'Forecast 1'!N$7)</f>
        <v>0</v>
      </c>
      <c r="O36" s="39">
        <f>SUMIFS('Bank Statement Export'!$I:$I,'Bank Statement Export'!$C:$C,'Forecast 1'!$B36,'Bank Statement Export'!$A:$A,'Forecast 1'!O$7)</f>
        <v>0</v>
      </c>
      <c r="P36" s="39">
        <f>SUMIFS('Bank Statement Export'!$I:$I,'Bank Statement Export'!$C:$C,'Forecast 1'!$B36,'Bank Statement Export'!$A:$A,'Forecast 1'!P$7)</f>
        <v>0</v>
      </c>
      <c r="Q36" s="39">
        <f>SUMIFS('Bank Statement Export'!$I:$I,'Bank Statement Export'!$C:$C,'Forecast 1'!$B36,'Bank Statement Export'!$A:$A,'Forecast 1'!Q$7)</f>
        <v>0</v>
      </c>
      <c r="R36" s="39">
        <f>SUMIFS('Bank Statement Export'!$I:$I,'Bank Statement Export'!$C:$C,'Forecast 1'!$B36,'Bank Statement Export'!$A:$A,'Forecast 1'!R$7)</f>
        <v>0</v>
      </c>
      <c r="S36" s="39">
        <f>SUMIFS('Bank Statement Export'!$I:$I,'Bank Statement Export'!$C:$C,'Forecast 1'!$B36,'Bank Statement Export'!$A:$A,'Forecast 1'!S$7)</f>
        <v>0</v>
      </c>
      <c r="T36" s="39">
        <f>SUMIFS('Bank Statement Export'!$I:$I,'Bank Statement Export'!$C:$C,'Forecast 1'!$B36,'Bank Statement Export'!$A:$A,'Forecast 1'!T$7)</f>
        <v>0</v>
      </c>
      <c r="U36" s="39">
        <f>SUMIFS('Bank Statement Export'!$I:$I,'Bank Statement Export'!$C:$C,'Forecast 1'!$B36,'Bank Statement Export'!$A:$A,'Forecast 1'!U$7)</f>
        <v>0</v>
      </c>
      <c r="V36" s="39">
        <f>SUMIFS('Bank Statement Export'!$I:$I,'Bank Statement Export'!$C:$C,'Forecast 1'!$B36,'Bank Statement Export'!$A:$A,'Forecast 1'!V$7)</f>
        <v>0</v>
      </c>
    </row>
    <row r="37" spans="1:22" x14ac:dyDescent="0.2">
      <c r="A37" s="69"/>
      <c r="B37" s="23" t="s">
        <v>67</v>
      </c>
      <c r="C37" s="22" t="s">
        <v>56</v>
      </c>
      <c r="D37" s="39">
        <f>SUMIFS('Bank Statement Export'!$I:$I,'Bank Statement Export'!$C:$C,'Forecast 1'!$B37,'Bank Statement Export'!$A:$A,'Forecast 1'!D$7)</f>
        <v>0</v>
      </c>
      <c r="E37" s="39">
        <f>SUMIFS('Bank Statement Export'!$I:$I,'Bank Statement Export'!$C:$C,'Forecast 1'!$B37,'Bank Statement Export'!$A:$A,'Forecast 1'!E$7)</f>
        <v>0</v>
      </c>
      <c r="F37" s="39">
        <f>SUMIFS('Bank Statement Export'!$I:$I,'Bank Statement Export'!$C:$C,'Forecast 1'!$B37,'Bank Statement Export'!$A:$A,'Forecast 1'!F$7)</f>
        <v>0</v>
      </c>
      <c r="G37" s="39">
        <f>SUMIFS('Bank Statement Export'!$I:$I,'Bank Statement Export'!$C:$C,'Forecast 1'!$B37,'Bank Statement Export'!$A:$A,'Forecast 1'!G$7)</f>
        <v>0</v>
      </c>
      <c r="H37" s="39">
        <f>SUMIFS('Bank Statement Export'!$I:$I,'Bank Statement Export'!$C:$C,'Forecast 1'!$B37,'Bank Statement Export'!$A:$A,'Forecast 1'!H$7)</f>
        <v>0</v>
      </c>
      <c r="I37" s="39">
        <f>SUMIFS('Bank Statement Export'!$I:$I,'Bank Statement Export'!$C:$C,'Forecast 1'!$B37,'Bank Statement Export'!$A:$A,'Forecast 1'!I$7)</f>
        <v>0</v>
      </c>
      <c r="J37" s="39">
        <f>SUMIFS('Bank Statement Export'!$I:$I,'Bank Statement Export'!$C:$C,'Forecast 1'!$B37,'Bank Statement Export'!$A:$A,'Forecast 1'!J$7)</f>
        <v>0</v>
      </c>
      <c r="K37" s="39">
        <f>SUMIFS('Bank Statement Export'!$I:$I,'Bank Statement Export'!$C:$C,'Forecast 1'!$B37,'Bank Statement Export'!$A:$A,'Forecast 1'!K$7)</f>
        <v>0</v>
      </c>
      <c r="L37" s="39">
        <f>SUMIFS('Bank Statement Export'!$I:$I,'Bank Statement Export'!$C:$C,'Forecast 1'!$B37,'Bank Statement Export'!$A:$A,'Forecast 1'!L$7)</f>
        <v>0</v>
      </c>
      <c r="M37" s="39">
        <f>SUMIFS('Bank Statement Export'!$I:$I,'Bank Statement Export'!$C:$C,'Forecast 1'!$B37,'Bank Statement Export'!$A:$A,'Forecast 1'!M$7)</f>
        <v>0</v>
      </c>
      <c r="N37" s="39">
        <f>SUMIFS('Bank Statement Export'!$I:$I,'Bank Statement Export'!$C:$C,'Forecast 1'!$B37,'Bank Statement Export'!$A:$A,'Forecast 1'!N$7)</f>
        <v>0</v>
      </c>
      <c r="O37" s="39">
        <f>SUMIFS('Bank Statement Export'!$I:$I,'Bank Statement Export'!$C:$C,'Forecast 1'!$B37,'Bank Statement Export'!$A:$A,'Forecast 1'!O$7)</f>
        <v>0</v>
      </c>
      <c r="P37" s="39">
        <f>SUMIFS('Bank Statement Export'!$I:$I,'Bank Statement Export'!$C:$C,'Forecast 1'!$B37,'Bank Statement Export'!$A:$A,'Forecast 1'!P$7)</f>
        <v>0</v>
      </c>
      <c r="Q37" s="39">
        <f>SUMIFS('Bank Statement Export'!$I:$I,'Bank Statement Export'!$C:$C,'Forecast 1'!$B37,'Bank Statement Export'!$A:$A,'Forecast 1'!Q$7)</f>
        <v>0</v>
      </c>
      <c r="R37" s="39">
        <f>SUMIFS('Bank Statement Export'!$I:$I,'Bank Statement Export'!$C:$C,'Forecast 1'!$B37,'Bank Statement Export'!$A:$A,'Forecast 1'!R$7)</f>
        <v>0</v>
      </c>
      <c r="S37" s="39">
        <f>SUMIFS('Bank Statement Export'!$I:$I,'Bank Statement Export'!$C:$C,'Forecast 1'!$B37,'Bank Statement Export'!$A:$A,'Forecast 1'!S$7)</f>
        <v>0</v>
      </c>
      <c r="T37" s="39">
        <f>SUMIFS('Bank Statement Export'!$I:$I,'Bank Statement Export'!$C:$C,'Forecast 1'!$B37,'Bank Statement Export'!$A:$A,'Forecast 1'!T$7)</f>
        <v>0</v>
      </c>
      <c r="U37" s="39">
        <f>SUMIFS('Bank Statement Export'!$I:$I,'Bank Statement Export'!$C:$C,'Forecast 1'!$B37,'Bank Statement Export'!$A:$A,'Forecast 1'!U$7)</f>
        <v>0</v>
      </c>
      <c r="V37" s="39">
        <f>SUMIFS('Bank Statement Export'!$I:$I,'Bank Statement Export'!$C:$C,'Forecast 1'!$B37,'Bank Statement Export'!$A:$A,'Forecast 1'!V$7)</f>
        <v>0</v>
      </c>
    </row>
    <row r="38" spans="1:22" x14ac:dyDescent="0.2">
      <c r="A38" s="69"/>
      <c r="B38" s="23" t="s">
        <v>68</v>
      </c>
      <c r="C38" s="22" t="s">
        <v>54</v>
      </c>
      <c r="D38" s="39">
        <f>SUMIFS('Bank Statement Export'!$I:$I,'Bank Statement Export'!$C:$C,'Forecast 1'!$B38,'Bank Statement Export'!$A:$A,'Forecast 1'!D$7)</f>
        <v>-1110</v>
      </c>
      <c r="E38" s="39">
        <f>SUMIFS('Bank Statement Export'!$I:$I,'Bank Statement Export'!$C:$C,'Forecast 1'!$B38,'Bank Statement Export'!$A:$A,'Forecast 1'!E$7)</f>
        <v>-1150</v>
      </c>
      <c r="F38" s="39">
        <f>SUMIFS('Bank Statement Export'!$I:$I,'Bank Statement Export'!$C:$C,'Forecast 1'!$B38,'Bank Statement Export'!$A:$A,'Forecast 1'!F$7)</f>
        <v>-2100</v>
      </c>
      <c r="G38" s="39">
        <f>SUMIFS('Bank Statement Export'!$I:$I,'Bank Statement Export'!$C:$C,'Forecast 1'!$B38,'Bank Statement Export'!$A:$A,'Forecast 1'!G$7)</f>
        <v>0</v>
      </c>
      <c r="H38" s="39">
        <f>SUMIFS('Bank Statement Export'!$I:$I,'Bank Statement Export'!$C:$C,'Forecast 1'!$B38,'Bank Statement Export'!$A:$A,'Forecast 1'!H$7)</f>
        <v>-2130</v>
      </c>
      <c r="I38" s="39">
        <f>SUMIFS('Bank Statement Export'!$I:$I,'Bank Statement Export'!$C:$C,'Forecast 1'!$B38,'Bank Statement Export'!$A:$A,'Forecast 1'!I$7)</f>
        <v>0</v>
      </c>
      <c r="J38" s="39">
        <f>AVERAGE(D38:I38)</f>
        <v>-1081.6666666666667</v>
      </c>
      <c r="K38" s="39">
        <f t="shared" ref="K38" si="22">AVERAGE(E38:J38)</f>
        <v>-1076.9444444444446</v>
      </c>
      <c r="L38" s="39">
        <f t="shared" ref="L38" si="23">AVERAGE(F38:K38)</f>
        <v>-1064.7685185185185</v>
      </c>
      <c r="M38" s="39">
        <f t="shared" ref="M38" si="24">AVERAGE(G38:L38)</f>
        <v>-892.22993827160496</v>
      </c>
      <c r="N38" s="39">
        <f t="shared" ref="N38" si="25">AVERAGE(H38:M38)</f>
        <v>-1040.934927983539</v>
      </c>
      <c r="O38" s="39">
        <f t="shared" ref="O38" si="26">AVERAGE(I38:N38)</f>
        <v>-859.42408264746211</v>
      </c>
      <c r="P38" s="39">
        <f t="shared" ref="P38" si="27">AVERAGE(J38:O38)</f>
        <v>-1002.6614297553725</v>
      </c>
      <c r="Q38" s="39">
        <f t="shared" ref="Q38" si="28">AVERAGE(K38:P38)</f>
        <v>-989.49389027015695</v>
      </c>
      <c r="R38" s="39">
        <f t="shared" ref="R38" si="29">AVERAGE(L38:Q38)</f>
        <v>-974.91879790777568</v>
      </c>
      <c r="S38" s="39">
        <f t="shared" ref="S38" si="30">AVERAGE(M38:R38)</f>
        <v>-959.9438444726519</v>
      </c>
      <c r="T38" s="39">
        <f t="shared" ref="T38" si="31">AVERAGE(N38:S38)</f>
        <v>-971.22949550615976</v>
      </c>
      <c r="U38" s="39">
        <f t="shared" ref="U38" si="32">AVERAGE(O38:T38)</f>
        <v>-959.61192342659649</v>
      </c>
      <c r="V38" s="39">
        <f t="shared" ref="V38" si="33">AVERAGE(P38:U38)</f>
        <v>-976.30989688978559</v>
      </c>
    </row>
    <row r="39" spans="1:22" x14ac:dyDescent="0.2">
      <c r="A39" s="69"/>
      <c r="B39" s="23" t="s">
        <v>69</v>
      </c>
      <c r="C39" s="22" t="s">
        <v>56</v>
      </c>
      <c r="D39" s="39">
        <f>SUMIFS('Bank Statement Export'!$I:$I,'Bank Statement Export'!$C:$C,'Forecast 1'!$B39,'Bank Statement Export'!$A:$A,'Forecast 1'!D$7)</f>
        <v>0</v>
      </c>
      <c r="E39" s="39">
        <f>SUMIFS('Bank Statement Export'!$I:$I,'Bank Statement Export'!$C:$C,'Forecast 1'!$B39,'Bank Statement Export'!$A:$A,'Forecast 1'!E$7)</f>
        <v>0</v>
      </c>
      <c r="F39" s="39">
        <f>SUMIFS('Bank Statement Export'!$I:$I,'Bank Statement Export'!$C:$C,'Forecast 1'!$B39,'Bank Statement Export'!$A:$A,'Forecast 1'!F$7)</f>
        <v>0</v>
      </c>
      <c r="G39" s="39">
        <f>SUMIFS('Bank Statement Export'!$I:$I,'Bank Statement Export'!$C:$C,'Forecast 1'!$B39,'Bank Statement Export'!$A:$A,'Forecast 1'!G$7)</f>
        <v>0</v>
      </c>
      <c r="H39" s="39">
        <f>SUMIFS('Bank Statement Export'!$I:$I,'Bank Statement Export'!$C:$C,'Forecast 1'!$B39,'Bank Statement Export'!$A:$A,'Forecast 1'!H$7)</f>
        <v>0</v>
      </c>
      <c r="I39" s="39">
        <f>SUMIFS('Bank Statement Export'!$I:$I,'Bank Statement Export'!$C:$C,'Forecast 1'!$B39,'Bank Statement Export'!$A:$A,'Forecast 1'!I$7)</f>
        <v>0</v>
      </c>
      <c r="J39" s="39">
        <f>SUMIFS('Bank Statement Export'!$I:$I,'Bank Statement Export'!$C:$C,'Forecast 1'!$B39,'Bank Statement Export'!$A:$A,'Forecast 1'!J$7)</f>
        <v>0</v>
      </c>
      <c r="K39" s="39">
        <f>SUMIFS('Bank Statement Export'!$I:$I,'Bank Statement Export'!$C:$C,'Forecast 1'!$B39,'Bank Statement Export'!$A:$A,'Forecast 1'!K$7)</f>
        <v>0</v>
      </c>
      <c r="L39" s="39">
        <f>SUMIFS('Bank Statement Export'!$I:$I,'Bank Statement Export'!$C:$C,'Forecast 1'!$B39,'Bank Statement Export'!$A:$A,'Forecast 1'!L$7)</f>
        <v>0</v>
      </c>
      <c r="M39" s="39">
        <f>SUMIFS('Bank Statement Export'!$I:$I,'Bank Statement Export'!$C:$C,'Forecast 1'!$B39,'Bank Statement Export'!$A:$A,'Forecast 1'!M$7)</f>
        <v>0</v>
      </c>
      <c r="N39" s="39">
        <f>SUMIFS('Bank Statement Export'!$I:$I,'Bank Statement Export'!$C:$C,'Forecast 1'!$B39,'Bank Statement Export'!$A:$A,'Forecast 1'!N$7)</f>
        <v>0</v>
      </c>
      <c r="O39" s="39">
        <f>SUMIFS('Bank Statement Export'!$I:$I,'Bank Statement Export'!$C:$C,'Forecast 1'!$B39,'Bank Statement Export'!$A:$A,'Forecast 1'!O$7)</f>
        <v>0</v>
      </c>
      <c r="P39" s="39">
        <f>SUMIFS('Bank Statement Export'!$I:$I,'Bank Statement Export'!$C:$C,'Forecast 1'!$B39,'Bank Statement Export'!$A:$A,'Forecast 1'!P$7)</f>
        <v>0</v>
      </c>
      <c r="Q39" s="39">
        <f>SUMIFS('Bank Statement Export'!$I:$I,'Bank Statement Export'!$C:$C,'Forecast 1'!$B39,'Bank Statement Export'!$A:$A,'Forecast 1'!Q$7)</f>
        <v>0</v>
      </c>
      <c r="R39" s="39">
        <f>SUMIFS('Bank Statement Export'!$I:$I,'Bank Statement Export'!$C:$C,'Forecast 1'!$B39,'Bank Statement Export'!$A:$A,'Forecast 1'!R$7)</f>
        <v>0</v>
      </c>
      <c r="S39" s="39">
        <f>SUMIFS('Bank Statement Export'!$I:$I,'Bank Statement Export'!$C:$C,'Forecast 1'!$B39,'Bank Statement Export'!$A:$A,'Forecast 1'!S$7)</f>
        <v>0</v>
      </c>
      <c r="T39" s="39">
        <f>SUMIFS('Bank Statement Export'!$I:$I,'Bank Statement Export'!$C:$C,'Forecast 1'!$B39,'Bank Statement Export'!$A:$A,'Forecast 1'!T$7)</f>
        <v>0</v>
      </c>
      <c r="U39" s="39">
        <f>SUMIFS('Bank Statement Export'!$I:$I,'Bank Statement Export'!$C:$C,'Forecast 1'!$B39,'Bank Statement Export'!$A:$A,'Forecast 1'!U$7)</f>
        <v>0</v>
      </c>
      <c r="V39" s="39">
        <f>SUMIFS('Bank Statement Export'!$I:$I,'Bank Statement Export'!$C:$C,'Forecast 1'!$B39,'Bank Statement Export'!$A:$A,'Forecast 1'!V$7)</f>
        <v>0</v>
      </c>
    </row>
    <row r="40" spans="1:22" x14ac:dyDescent="0.2">
      <c r="A40" s="69"/>
      <c r="B40" s="23" t="s">
        <v>70</v>
      </c>
      <c r="C40" s="22" t="s">
        <v>56</v>
      </c>
      <c r="D40" s="39">
        <f>SUMIFS('Bank Statement Export'!$I:$I,'Bank Statement Export'!$C:$C,'Forecast 1'!$B40,'Bank Statement Export'!$A:$A,'Forecast 1'!D$7)</f>
        <v>0</v>
      </c>
      <c r="E40" s="39">
        <f>SUMIFS('Bank Statement Export'!$I:$I,'Bank Statement Export'!$C:$C,'Forecast 1'!$B40,'Bank Statement Export'!$A:$A,'Forecast 1'!E$7)</f>
        <v>0</v>
      </c>
      <c r="F40" s="39">
        <f>SUMIFS('Bank Statement Export'!$I:$I,'Bank Statement Export'!$C:$C,'Forecast 1'!$B40,'Bank Statement Export'!$A:$A,'Forecast 1'!F$7)</f>
        <v>0</v>
      </c>
      <c r="G40" s="39">
        <f>SUMIFS('Bank Statement Export'!$I:$I,'Bank Statement Export'!$C:$C,'Forecast 1'!$B40,'Bank Statement Export'!$A:$A,'Forecast 1'!G$7)</f>
        <v>0</v>
      </c>
      <c r="H40" s="39">
        <f>SUMIFS('Bank Statement Export'!$I:$I,'Bank Statement Export'!$C:$C,'Forecast 1'!$B40,'Bank Statement Export'!$A:$A,'Forecast 1'!H$7)</f>
        <v>0</v>
      </c>
      <c r="I40" s="39">
        <f>SUMIFS('Bank Statement Export'!$I:$I,'Bank Statement Export'!$C:$C,'Forecast 1'!$B40,'Bank Statement Export'!$A:$A,'Forecast 1'!I$7)</f>
        <v>0</v>
      </c>
      <c r="J40" s="39">
        <f>SUMIFS('Bank Statement Export'!$I:$I,'Bank Statement Export'!$C:$C,'Forecast 1'!$B40,'Bank Statement Export'!$A:$A,'Forecast 1'!J$7)</f>
        <v>0</v>
      </c>
      <c r="K40" s="39">
        <f>SUMIFS('Bank Statement Export'!$I:$I,'Bank Statement Export'!$C:$C,'Forecast 1'!$B40,'Bank Statement Export'!$A:$A,'Forecast 1'!K$7)</f>
        <v>0</v>
      </c>
      <c r="L40" s="39">
        <f>SUMIFS('Bank Statement Export'!$I:$I,'Bank Statement Export'!$C:$C,'Forecast 1'!$B40,'Bank Statement Export'!$A:$A,'Forecast 1'!L$7)</f>
        <v>0</v>
      </c>
      <c r="M40" s="39">
        <f>SUMIFS('Bank Statement Export'!$I:$I,'Bank Statement Export'!$C:$C,'Forecast 1'!$B40,'Bank Statement Export'!$A:$A,'Forecast 1'!M$7)</f>
        <v>0</v>
      </c>
      <c r="N40" s="39">
        <f>SUMIFS('Bank Statement Export'!$I:$I,'Bank Statement Export'!$C:$C,'Forecast 1'!$B40,'Bank Statement Export'!$A:$A,'Forecast 1'!N$7)</f>
        <v>0</v>
      </c>
      <c r="O40" s="39">
        <f>SUMIFS('Bank Statement Export'!$I:$I,'Bank Statement Export'!$C:$C,'Forecast 1'!$B40,'Bank Statement Export'!$A:$A,'Forecast 1'!O$7)</f>
        <v>0</v>
      </c>
      <c r="P40" s="39">
        <f>SUMIFS('Bank Statement Export'!$I:$I,'Bank Statement Export'!$C:$C,'Forecast 1'!$B40,'Bank Statement Export'!$A:$A,'Forecast 1'!P$7)</f>
        <v>0</v>
      </c>
      <c r="Q40" s="39">
        <f>SUMIFS('Bank Statement Export'!$I:$I,'Bank Statement Export'!$C:$C,'Forecast 1'!$B40,'Bank Statement Export'!$A:$A,'Forecast 1'!Q$7)</f>
        <v>0</v>
      </c>
      <c r="R40" s="39">
        <f>SUMIFS('Bank Statement Export'!$I:$I,'Bank Statement Export'!$C:$C,'Forecast 1'!$B40,'Bank Statement Export'!$A:$A,'Forecast 1'!R$7)</f>
        <v>0</v>
      </c>
      <c r="S40" s="39">
        <f>SUMIFS('Bank Statement Export'!$I:$I,'Bank Statement Export'!$C:$C,'Forecast 1'!$B40,'Bank Statement Export'!$A:$A,'Forecast 1'!S$7)</f>
        <v>0</v>
      </c>
      <c r="T40" s="39">
        <f>SUMIFS('Bank Statement Export'!$I:$I,'Bank Statement Export'!$C:$C,'Forecast 1'!$B40,'Bank Statement Export'!$A:$A,'Forecast 1'!T$7)</f>
        <v>0</v>
      </c>
      <c r="U40" s="39">
        <f>SUMIFS('Bank Statement Export'!$I:$I,'Bank Statement Export'!$C:$C,'Forecast 1'!$B40,'Bank Statement Export'!$A:$A,'Forecast 1'!U$7)</f>
        <v>0</v>
      </c>
      <c r="V40" s="39">
        <f>SUMIFS('Bank Statement Export'!$I:$I,'Bank Statement Export'!$C:$C,'Forecast 1'!$B40,'Bank Statement Export'!$A:$A,'Forecast 1'!V$7)</f>
        <v>0</v>
      </c>
    </row>
    <row r="41" spans="1:22" x14ac:dyDescent="0.2">
      <c r="A41" s="69"/>
      <c r="B41" s="23" t="s">
        <v>71</v>
      </c>
      <c r="C41" s="22" t="s">
        <v>56</v>
      </c>
      <c r="D41" s="39">
        <f>SUMIFS('Bank Statement Export'!$I:$I,'Bank Statement Export'!$C:$C,'Forecast 1'!$B41,'Bank Statement Export'!$A:$A,'Forecast 1'!D$7)</f>
        <v>0</v>
      </c>
      <c r="E41" s="39">
        <f>SUMIFS('Bank Statement Export'!$I:$I,'Bank Statement Export'!$C:$C,'Forecast 1'!$B41,'Bank Statement Export'!$A:$A,'Forecast 1'!E$7)</f>
        <v>0</v>
      </c>
      <c r="F41" s="39">
        <f>SUMIFS('Bank Statement Export'!$I:$I,'Bank Statement Export'!$C:$C,'Forecast 1'!$B41,'Bank Statement Export'!$A:$A,'Forecast 1'!F$7)</f>
        <v>0</v>
      </c>
      <c r="G41" s="39">
        <f>SUMIFS('Bank Statement Export'!$I:$I,'Bank Statement Export'!$C:$C,'Forecast 1'!$B41,'Bank Statement Export'!$A:$A,'Forecast 1'!G$7)</f>
        <v>0</v>
      </c>
      <c r="H41" s="39">
        <f>SUMIFS('Bank Statement Export'!$I:$I,'Bank Statement Export'!$C:$C,'Forecast 1'!$B41,'Bank Statement Export'!$A:$A,'Forecast 1'!H$7)</f>
        <v>0</v>
      </c>
      <c r="I41" s="39">
        <f>SUMIFS('Bank Statement Export'!$I:$I,'Bank Statement Export'!$C:$C,'Forecast 1'!$B41,'Bank Statement Export'!$A:$A,'Forecast 1'!I$7)</f>
        <v>0</v>
      </c>
      <c r="J41" s="39">
        <f>SUMIFS('Bank Statement Export'!$I:$I,'Bank Statement Export'!$C:$C,'Forecast 1'!$B41,'Bank Statement Export'!$A:$A,'Forecast 1'!J$7)</f>
        <v>0</v>
      </c>
      <c r="K41" s="39">
        <f>SUMIFS('Bank Statement Export'!$I:$I,'Bank Statement Export'!$C:$C,'Forecast 1'!$B41,'Bank Statement Export'!$A:$A,'Forecast 1'!K$7)</f>
        <v>0</v>
      </c>
      <c r="L41" s="39">
        <f>SUMIFS('Bank Statement Export'!$I:$I,'Bank Statement Export'!$C:$C,'Forecast 1'!$B41,'Bank Statement Export'!$A:$A,'Forecast 1'!L$7)</f>
        <v>0</v>
      </c>
      <c r="M41" s="39">
        <f>SUMIFS('Bank Statement Export'!$I:$I,'Bank Statement Export'!$C:$C,'Forecast 1'!$B41,'Bank Statement Export'!$A:$A,'Forecast 1'!M$7)</f>
        <v>0</v>
      </c>
      <c r="N41" s="39">
        <f>SUMIFS('Bank Statement Export'!$I:$I,'Bank Statement Export'!$C:$C,'Forecast 1'!$B41,'Bank Statement Export'!$A:$A,'Forecast 1'!N$7)</f>
        <v>0</v>
      </c>
      <c r="O41" s="39">
        <f>SUMIFS('Bank Statement Export'!$I:$I,'Bank Statement Export'!$C:$C,'Forecast 1'!$B41,'Bank Statement Export'!$A:$A,'Forecast 1'!O$7)</f>
        <v>0</v>
      </c>
      <c r="P41" s="39">
        <f>SUMIFS('Bank Statement Export'!$I:$I,'Bank Statement Export'!$C:$C,'Forecast 1'!$B41,'Bank Statement Export'!$A:$A,'Forecast 1'!P$7)</f>
        <v>0</v>
      </c>
      <c r="Q41" s="39">
        <f>SUMIFS('Bank Statement Export'!$I:$I,'Bank Statement Export'!$C:$C,'Forecast 1'!$B41,'Bank Statement Export'!$A:$A,'Forecast 1'!Q$7)</f>
        <v>0</v>
      </c>
      <c r="R41" s="39">
        <f>SUMIFS('Bank Statement Export'!$I:$I,'Bank Statement Export'!$C:$C,'Forecast 1'!$B41,'Bank Statement Export'!$A:$A,'Forecast 1'!R$7)</f>
        <v>0</v>
      </c>
      <c r="S41" s="39">
        <f>SUMIFS('Bank Statement Export'!$I:$I,'Bank Statement Export'!$C:$C,'Forecast 1'!$B41,'Bank Statement Export'!$A:$A,'Forecast 1'!S$7)</f>
        <v>0</v>
      </c>
      <c r="T41" s="39">
        <f>SUMIFS('Bank Statement Export'!$I:$I,'Bank Statement Export'!$C:$C,'Forecast 1'!$B41,'Bank Statement Export'!$A:$A,'Forecast 1'!T$7)</f>
        <v>0</v>
      </c>
      <c r="U41" s="39">
        <f>SUMIFS('Bank Statement Export'!$I:$I,'Bank Statement Export'!$C:$C,'Forecast 1'!$B41,'Bank Statement Export'!$A:$A,'Forecast 1'!U$7)</f>
        <v>0</v>
      </c>
      <c r="V41" s="39">
        <f>SUMIFS('Bank Statement Export'!$I:$I,'Bank Statement Export'!$C:$C,'Forecast 1'!$B41,'Bank Statement Export'!$A:$A,'Forecast 1'!V$7)</f>
        <v>0</v>
      </c>
    </row>
    <row r="42" spans="1:22" x14ac:dyDescent="0.2">
      <c r="A42" s="69"/>
      <c r="B42" s="23" t="s">
        <v>72</v>
      </c>
      <c r="C42" s="22" t="s">
        <v>73</v>
      </c>
      <c r="D42" s="39">
        <f>SUMIFS('Bank Statement Export'!$I:$I,'Bank Statement Export'!$C:$C,'Forecast 1'!$B42,'Bank Statement Export'!$A:$A,'Forecast 1'!D$7)</f>
        <v>0</v>
      </c>
      <c r="E42" s="39">
        <f>SUMIFS('Bank Statement Export'!$I:$I,'Bank Statement Export'!$C:$C,'Forecast 1'!$B42,'Bank Statement Export'!$A:$A,'Forecast 1'!E$7)</f>
        <v>-7660</v>
      </c>
      <c r="F42" s="39">
        <f>SUMIFS('Bank Statement Export'!$I:$I,'Bank Statement Export'!$C:$C,'Forecast 1'!$B42,'Bank Statement Export'!$A:$A,'Forecast 1'!F$7)</f>
        <v>0</v>
      </c>
      <c r="G42" s="39">
        <f>SUMIFS('Bank Statement Export'!$I:$I,'Bank Statement Export'!$C:$C,'Forecast 1'!$B42,'Bank Statement Export'!$A:$A,'Forecast 1'!G$7)</f>
        <v>0</v>
      </c>
      <c r="H42" s="39">
        <f>SUMIFS('Bank Statement Export'!$I:$I,'Bank Statement Export'!$C:$C,'Forecast 1'!$B42,'Bank Statement Export'!$A:$A,'Forecast 1'!H$7)</f>
        <v>0</v>
      </c>
      <c r="I42" s="39">
        <f>SUMIFS('Bank Statement Export'!$I:$I,'Bank Statement Export'!$C:$C,'Forecast 1'!$B42,'Bank Statement Export'!$A:$A,'Forecast 1'!I$7)</f>
        <v>-5840</v>
      </c>
      <c r="J42" s="39">
        <v>0</v>
      </c>
      <c r="K42" s="39">
        <f>SUMIFS('Bank Statement Export'!$I:$I,'Bank Statement Export'!$C:$C,'Forecast 1'!$B42,'Bank Statement Export'!$A:$A,'Forecast 1'!K$7)</f>
        <v>0</v>
      </c>
      <c r="L42" s="39">
        <f>SUMIFS('Bank Statement Export'!$I:$I,'Bank Statement Export'!$C:$C,'Forecast 1'!$B42,'Bank Statement Export'!$A:$A,'Forecast 1'!L$7)</f>
        <v>0</v>
      </c>
      <c r="M42" s="39">
        <f>SUMIFS('Bank Statement Export'!$I:$I,'Bank Statement Export'!$C:$C,'Forecast 1'!$B42,'Bank Statement Export'!$A:$A,'Forecast 1'!M$7)</f>
        <v>0</v>
      </c>
      <c r="N42" s="39">
        <v>-7000</v>
      </c>
      <c r="O42" s="39">
        <f>SUMIFS('Bank Statement Export'!$I:$I,'Bank Statement Export'!$C:$C,'Forecast 1'!$B42,'Bank Statement Export'!$A:$A,'Forecast 1'!O$7)</f>
        <v>0</v>
      </c>
      <c r="P42" s="39">
        <f>SUMIFS('Bank Statement Export'!$I:$I,'Bank Statement Export'!$C:$C,'Forecast 1'!$B42,'Bank Statement Export'!$A:$A,'Forecast 1'!P$7)</f>
        <v>0</v>
      </c>
      <c r="Q42" s="39">
        <f>SUMIFS('Bank Statement Export'!$I:$I,'Bank Statement Export'!$C:$C,'Forecast 1'!$B42,'Bank Statement Export'!$A:$A,'Forecast 1'!Q$7)</f>
        <v>0</v>
      </c>
      <c r="R42" s="39">
        <v>-7000</v>
      </c>
      <c r="S42" s="39">
        <f>SUMIFS('Bank Statement Export'!$I:$I,'Bank Statement Export'!$C:$C,'Forecast 1'!$B42,'Bank Statement Export'!$A:$A,'Forecast 1'!S$7)</f>
        <v>0</v>
      </c>
      <c r="T42" s="39">
        <f>SUMIFS('Bank Statement Export'!$I:$I,'Bank Statement Export'!$C:$C,'Forecast 1'!$B42,'Bank Statement Export'!$A:$A,'Forecast 1'!T$7)</f>
        <v>0</v>
      </c>
      <c r="U42" s="39">
        <f>SUMIFS('Bank Statement Export'!$I:$I,'Bank Statement Export'!$C:$C,'Forecast 1'!$B42,'Bank Statement Export'!$A:$A,'Forecast 1'!U$7)</f>
        <v>0</v>
      </c>
      <c r="V42" s="39">
        <v>-7000</v>
      </c>
    </row>
    <row r="43" spans="1:22" x14ac:dyDescent="0.2">
      <c r="A43" s="69"/>
      <c r="B43" s="23" t="s">
        <v>74</v>
      </c>
      <c r="C43" s="22" t="s">
        <v>54</v>
      </c>
      <c r="D43" s="39">
        <f>SUMIFS('Bank Statement Export'!$I:$I,'Bank Statement Export'!$C:$C,'Forecast 1'!$B43,'Bank Statement Export'!$A:$A,'Forecast 1'!D$7)</f>
        <v>-1270</v>
      </c>
      <c r="E43" s="39">
        <f>SUMIFS('Bank Statement Export'!$I:$I,'Bank Statement Export'!$C:$C,'Forecast 1'!$B43,'Bank Statement Export'!$A:$A,'Forecast 1'!E$7)</f>
        <v>-2570</v>
      </c>
      <c r="F43" s="39">
        <f>SUMIFS('Bank Statement Export'!$I:$I,'Bank Statement Export'!$C:$C,'Forecast 1'!$B43,'Bank Statement Export'!$A:$A,'Forecast 1'!F$7)</f>
        <v>0</v>
      </c>
      <c r="G43" s="39">
        <f>SUMIFS('Bank Statement Export'!$I:$I,'Bank Statement Export'!$C:$C,'Forecast 1'!$B43,'Bank Statement Export'!$A:$A,'Forecast 1'!G$7)</f>
        <v>0</v>
      </c>
      <c r="H43" s="39">
        <f>SUMIFS('Bank Statement Export'!$I:$I,'Bank Statement Export'!$C:$C,'Forecast 1'!$B43,'Bank Statement Export'!$A:$A,'Forecast 1'!H$7)</f>
        <v>0</v>
      </c>
      <c r="I43" s="39">
        <f>SUMIFS('Bank Statement Export'!$I:$I,'Bank Statement Export'!$C:$C,'Forecast 1'!$B43,'Bank Statement Export'!$A:$A,'Forecast 1'!I$7)</f>
        <v>-1270</v>
      </c>
      <c r="J43" s="39">
        <f>AVERAGE(D43:I43)</f>
        <v>-851.66666666666663</v>
      </c>
      <c r="K43" s="39">
        <f t="shared" ref="K43" si="34">AVERAGE(E43:J43)</f>
        <v>-781.94444444444446</v>
      </c>
      <c r="L43" s="39">
        <f t="shared" ref="L43" si="35">AVERAGE(F43:K43)</f>
        <v>-483.93518518518516</v>
      </c>
      <c r="M43" s="39">
        <f t="shared" ref="M43" si="36">AVERAGE(G43:L43)</f>
        <v>-564.59104938271605</v>
      </c>
      <c r="N43" s="39">
        <f t="shared" ref="N43" si="37">AVERAGE(H43:M43)</f>
        <v>-658.68955761316863</v>
      </c>
      <c r="O43" s="39">
        <f t="shared" ref="O43" si="38">AVERAGE(I43:N43)</f>
        <v>-768.47115054869676</v>
      </c>
      <c r="P43" s="39">
        <f t="shared" ref="P43" si="39">AVERAGE(J43:O43)</f>
        <v>-684.8830089734796</v>
      </c>
      <c r="Q43" s="39">
        <f t="shared" ref="Q43" si="40">AVERAGE(K43:P43)</f>
        <v>-657.08573269128181</v>
      </c>
      <c r="R43" s="39">
        <f t="shared" ref="R43" si="41">AVERAGE(L43:Q43)</f>
        <v>-636.27594739908807</v>
      </c>
      <c r="S43" s="39">
        <f t="shared" ref="S43" si="42">AVERAGE(M43:R43)</f>
        <v>-661.66607443473856</v>
      </c>
      <c r="T43" s="39">
        <f t="shared" ref="T43" si="43">AVERAGE(N43:S43)</f>
        <v>-677.84524527674228</v>
      </c>
      <c r="U43" s="39">
        <f t="shared" ref="U43" si="44">AVERAGE(O43:T43)</f>
        <v>-681.03785988733796</v>
      </c>
      <c r="V43" s="39">
        <f t="shared" ref="V43" si="45">AVERAGE(P43:U43)</f>
        <v>-666.46564477711138</v>
      </c>
    </row>
    <row r="44" spans="1:22" x14ac:dyDescent="0.2">
      <c r="A44" s="69"/>
      <c r="D44" s="39">
        <f>SUMIFS('Bank Statement Export'!$I:$I,'Bank Statement Export'!$C:$C,'Forecast 1'!$B44,'Bank Statement Export'!$A:$A,'Forecast 1'!D$7)</f>
        <v>0</v>
      </c>
      <c r="E44" s="39">
        <f>SUMIFS('Bank Statement Export'!$I:$I,'Bank Statement Export'!$C:$C,'Forecast 1'!$B44,'Bank Statement Export'!$A:$A,'Forecast 1'!E$7)</f>
        <v>0</v>
      </c>
      <c r="F44" s="39">
        <f>SUMIFS('Bank Statement Export'!$I:$I,'Bank Statement Export'!$C:$C,'Forecast 1'!$B44,'Bank Statement Export'!$A:$A,'Forecast 1'!F$7)</f>
        <v>0</v>
      </c>
      <c r="G44" s="39">
        <f>SUMIFS('Bank Statement Export'!$I:$I,'Bank Statement Export'!$C:$C,'Forecast 1'!$B44,'Bank Statement Export'!$A:$A,'Forecast 1'!G$7)</f>
        <v>0</v>
      </c>
      <c r="H44" s="39">
        <f>SUMIFS('Bank Statement Export'!$I:$I,'Bank Statement Export'!$C:$C,'Forecast 1'!$B44,'Bank Statement Export'!$A:$A,'Forecast 1'!H$7)</f>
        <v>0</v>
      </c>
      <c r="I44" s="39">
        <f>SUMIFS('Bank Statement Export'!$I:$I,'Bank Statement Export'!$C:$C,'Forecast 1'!$B44,'Bank Statement Export'!$A:$A,'Forecast 1'!I$7)</f>
        <v>0</v>
      </c>
      <c r="J44" s="39">
        <f>SUMIFS('Bank Statement Export'!$I:$I,'Bank Statement Export'!$C:$C,'Forecast 1'!$B44,'Bank Statement Export'!$A:$A,'Forecast 1'!J$7)</f>
        <v>0</v>
      </c>
      <c r="K44" s="39">
        <f>SUMIFS('Bank Statement Export'!$I:$I,'Bank Statement Export'!$C:$C,'Forecast 1'!$B44,'Bank Statement Export'!$A:$A,'Forecast 1'!K$7)</f>
        <v>0</v>
      </c>
      <c r="L44" s="39">
        <f>SUMIFS('Bank Statement Export'!$I:$I,'Bank Statement Export'!$C:$C,'Forecast 1'!$B44,'Bank Statement Export'!$A:$A,'Forecast 1'!L$7)</f>
        <v>0</v>
      </c>
      <c r="M44" s="39">
        <f>SUMIFS('Bank Statement Export'!$I:$I,'Bank Statement Export'!$C:$C,'Forecast 1'!$B44,'Bank Statement Export'!$A:$A,'Forecast 1'!M$7)</f>
        <v>0</v>
      </c>
      <c r="N44" s="39">
        <f>SUMIFS('Bank Statement Export'!$I:$I,'Bank Statement Export'!$C:$C,'Forecast 1'!$B44,'Bank Statement Export'!$A:$A,'Forecast 1'!N$7)</f>
        <v>0</v>
      </c>
      <c r="O44" s="39">
        <f>SUMIFS('Bank Statement Export'!$I:$I,'Bank Statement Export'!$C:$C,'Forecast 1'!$B44,'Bank Statement Export'!$A:$A,'Forecast 1'!O$7)</f>
        <v>0</v>
      </c>
      <c r="P44" s="39">
        <f>SUMIFS('Bank Statement Export'!$I:$I,'Bank Statement Export'!$C:$C,'Forecast 1'!$B44,'Bank Statement Export'!$A:$A,'Forecast 1'!P$7)</f>
        <v>0</v>
      </c>
      <c r="Q44" s="39">
        <f>SUMIFS('Bank Statement Export'!$I:$I,'Bank Statement Export'!$C:$C,'Forecast 1'!$B44,'Bank Statement Export'!$A:$A,'Forecast 1'!Q$7)</f>
        <v>0</v>
      </c>
      <c r="R44" s="39">
        <f>SUMIFS('Bank Statement Export'!$I:$I,'Bank Statement Export'!$C:$C,'Forecast 1'!$B44,'Bank Statement Export'!$A:$A,'Forecast 1'!R$7)</f>
        <v>0</v>
      </c>
      <c r="S44" s="39">
        <f>SUMIFS('Bank Statement Export'!$I:$I,'Bank Statement Export'!$C:$C,'Forecast 1'!$B44,'Bank Statement Export'!$A:$A,'Forecast 1'!S$7)</f>
        <v>0</v>
      </c>
      <c r="T44" s="39">
        <f>SUMIFS('Bank Statement Export'!$I:$I,'Bank Statement Export'!$C:$C,'Forecast 1'!$B44,'Bank Statement Export'!$A:$A,'Forecast 1'!T$7)</f>
        <v>0</v>
      </c>
      <c r="U44" s="39">
        <f>SUMIFS('Bank Statement Export'!$I:$I,'Bank Statement Export'!$C:$C,'Forecast 1'!$B44,'Bank Statement Export'!$A:$A,'Forecast 1'!U$7)</f>
        <v>0</v>
      </c>
      <c r="V44" s="39">
        <f>SUMIFS('Bank Statement Export'!$I:$I,'Bank Statement Export'!$C:$C,'Forecast 1'!$B44,'Bank Statement Export'!$A:$A,'Forecast 1'!V$7)</f>
        <v>0</v>
      </c>
    </row>
    <row r="45" spans="1:22" x14ac:dyDescent="0.2">
      <c r="A45" s="69"/>
      <c r="D45" s="36"/>
      <c r="E45" s="36"/>
      <c r="F45" s="36"/>
      <c r="G45" s="36"/>
      <c r="H45" s="36"/>
      <c r="I45" s="36"/>
      <c r="J45" s="36"/>
      <c r="K45" s="36"/>
      <c r="L45" s="36"/>
      <c r="M45" s="36"/>
      <c r="N45" s="36"/>
      <c r="O45" s="36"/>
      <c r="P45" s="36"/>
      <c r="Q45" s="36"/>
      <c r="R45" s="36"/>
      <c r="S45" s="36"/>
      <c r="T45" s="36"/>
      <c r="U45" s="36"/>
      <c r="V45" s="36"/>
    </row>
    <row r="46" spans="1:22" x14ac:dyDescent="0.2">
      <c r="A46" s="69"/>
      <c r="B46" s="20" t="s">
        <v>75</v>
      </c>
      <c r="C46" s="21"/>
      <c r="D46" s="30">
        <f>SUM(D24:D45)</f>
        <v>-114140</v>
      </c>
      <c r="E46" s="30">
        <f t="shared" ref="E46:V46" si="46">SUM(E24:E45)</f>
        <v>-374900</v>
      </c>
      <c r="F46" s="30">
        <f t="shared" si="46"/>
        <v>-124910</v>
      </c>
      <c r="G46" s="30">
        <f t="shared" si="46"/>
        <v>-180410</v>
      </c>
      <c r="H46" s="30">
        <f t="shared" si="46"/>
        <v>-66850</v>
      </c>
      <c r="I46" s="30">
        <f t="shared" si="46"/>
        <v>-166200</v>
      </c>
      <c r="J46" s="30">
        <f t="shared" si="46"/>
        <v>-413930</v>
      </c>
      <c r="K46" s="30">
        <f t="shared" si="46"/>
        <v>-56198.333333333328</v>
      </c>
      <c r="L46" s="30">
        <f t="shared" si="46"/>
        <v>-195108.05555555556</v>
      </c>
      <c r="M46" s="30">
        <f t="shared" si="46"/>
        <v>-48342.731481481489</v>
      </c>
      <c r="N46" s="30">
        <f t="shared" si="46"/>
        <v>-116688.18672839507</v>
      </c>
      <c r="O46" s="30">
        <f t="shared" si="46"/>
        <v>-49941.217849794244</v>
      </c>
      <c r="P46" s="30">
        <f t="shared" si="46"/>
        <v>-51634.754158093281</v>
      </c>
      <c r="Q46" s="30">
        <f t="shared" si="46"/>
        <v>-50552.21318444216</v>
      </c>
      <c r="R46" s="30">
        <f t="shared" si="46"/>
        <v>-241411.19315962694</v>
      </c>
      <c r="S46" s="30">
        <f t="shared" si="46"/>
        <v>-176911.71609363885</v>
      </c>
      <c r="T46" s="30">
        <f t="shared" si="46"/>
        <v>-100289.8801956651</v>
      </c>
      <c r="U46" s="30">
        <f t="shared" si="46"/>
        <v>-140390.16244021012</v>
      </c>
      <c r="V46" s="30">
        <f t="shared" si="46"/>
        <v>-272464.98653861275</v>
      </c>
    </row>
    <row r="47" spans="1:22" x14ac:dyDescent="0.2">
      <c r="A47" s="69"/>
    </row>
    <row r="48" spans="1:22" x14ac:dyDescent="0.2">
      <c r="A48" s="69"/>
      <c r="B48" s="5" t="s">
        <v>76</v>
      </c>
      <c r="C48" s="5"/>
      <c r="D48" s="5"/>
      <c r="E48" s="5"/>
      <c r="F48" s="5"/>
      <c r="G48" s="5"/>
      <c r="H48" s="5"/>
      <c r="I48" s="5"/>
      <c r="J48" s="5"/>
      <c r="K48" s="5"/>
      <c r="L48" s="5"/>
      <c r="M48" s="5"/>
      <c r="N48" s="5"/>
      <c r="O48" s="5"/>
      <c r="P48" s="5"/>
      <c r="Q48" s="5"/>
      <c r="R48" s="5"/>
      <c r="S48" s="5"/>
      <c r="T48" s="5"/>
      <c r="U48" s="5"/>
      <c r="V48" s="5"/>
    </row>
    <row r="49" spans="1:22" x14ac:dyDescent="0.2">
      <c r="A49" s="69"/>
      <c r="B49" s="23" t="s">
        <v>77</v>
      </c>
      <c r="C49" s="22" t="s">
        <v>56</v>
      </c>
      <c r="D49" s="39">
        <f>SUMIFS('Bank Statement Export'!$I:$I,'Bank Statement Export'!$C:$C,'Forecast 1'!$B49,'Bank Statement Export'!$A:$A,'Forecast 1'!D$7)</f>
        <v>0</v>
      </c>
      <c r="E49" s="39">
        <f>SUMIFS('Bank Statement Export'!$I:$I,'Bank Statement Export'!$C:$C,'Forecast 1'!$B49,'Bank Statement Export'!$A:$A,'Forecast 1'!E$7)</f>
        <v>0</v>
      </c>
      <c r="F49" s="39">
        <f>SUMIFS('Bank Statement Export'!$I:$I,'Bank Statement Export'!$C:$C,'Forecast 1'!$B49,'Bank Statement Export'!$A:$A,'Forecast 1'!F$7)</f>
        <v>0</v>
      </c>
      <c r="G49" s="39">
        <f>SUMIFS('Bank Statement Export'!$I:$I,'Bank Statement Export'!$C:$C,'Forecast 1'!$B49,'Bank Statement Export'!$A:$A,'Forecast 1'!G$7)</f>
        <v>0</v>
      </c>
      <c r="H49" s="39">
        <f>SUMIFS('Bank Statement Export'!$I:$I,'Bank Statement Export'!$C:$C,'Forecast 1'!$B49,'Bank Statement Export'!$A:$A,'Forecast 1'!H$7)</f>
        <v>0</v>
      </c>
      <c r="I49" s="39">
        <f>SUMIFS('Bank Statement Export'!$I:$I,'Bank Statement Export'!$C:$C,'Forecast 1'!$B49,'Bank Statement Export'!$A:$A,'Forecast 1'!I$7)</f>
        <v>0</v>
      </c>
      <c r="J49" s="39">
        <f>SUMIFS('Bank Statement Export'!$I:$I,'Bank Statement Export'!$C:$C,'Forecast 1'!$B49,'Bank Statement Export'!$A:$A,'Forecast 1'!J$7)</f>
        <v>0</v>
      </c>
      <c r="K49" s="39">
        <f>SUMIFS('Bank Statement Export'!$I:$I,'Bank Statement Export'!$C:$C,'Forecast 1'!$B49,'Bank Statement Export'!$A:$A,'Forecast 1'!K$7)</f>
        <v>0</v>
      </c>
      <c r="L49" s="39">
        <f>SUMIFS('Bank Statement Export'!$I:$I,'Bank Statement Export'!$C:$C,'Forecast 1'!$B49,'Bank Statement Export'!$A:$A,'Forecast 1'!L$7)</f>
        <v>0</v>
      </c>
      <c r="M49" s="39">
        <f>SUMIFS('Bank Statement Export'!$I:$I,'Bank Statement Export'!$C:$C,'Forecast 1'!$B49,'Bank Statement Export'!$A:$A,'Forecast 1'!M$7)</f>
        <v>0</v>
      </c>
      <c r="N49" s="39">
        <f>SUMIFS('Bank Statement Export'!$I:$I,'Bank Statement Export'!$C:$C,'Forecast 1'!$B49,'Bank Statement Export'!$A:$A,'Forecast 1'!N$7)</f>
        <v>0</v>
      </c>
      <c r="O49" s="39">
        <f>SUMIFS('Bank Statement Export'!$I:$I,'Bank Statement Export'!$C:$C,'Forecast 1'!$B49,'Bank Statement Export'!$A:$A,'Forecast 1'!O$7)</f>
        <v>0</v>
      </c>
      <c r="P49" s="39">
        <f>SUMIFS('Bank Statement Export'!$I:$I,'Bank Statement Export'!$C:$C,'Forecast 1'!$B49,'Bank Statement Export'!$A:$A,'Forecast 1'!P$7)</f>
        <v>0</v>
      </c>
      <c r="Q49" s="39">
        <f>SUMIFS('Bank Statement Export'!$I:$I,'Bank Statement Export'!$C:$C,'Forecast 1'!$B49,'Bank Statement Export'!$A:$A,'Forecast 1'!Q$7)</f>
        <v>0</v>
      </c>
      <c r="R49" s="39">
        <f>SUMIFS('Bank Statement Export'!$I:$I,'Bank Statement Export'!$C:$C,'Forecast 1'!$B49,'Bank Statement Export'!$A:$A,'Forecast 1'!R$7)</f>
        <v>0</v>
      </c>
      <c r="S49" s="39">
        <f>SUMIFS('Bank Statement Export'!$I:$I,'Bank Statement Export'!$C:$C,'Forecast 1'!$B49,'Bank Statement Export'!$A:$A,'Forecast 1'!S$7)</f>
        <v>0</v>
      </c>
      <c r="T49" s="39">
        <f>SUMIFS('Bank Statement Export'!$I:$I,'Bank Statement Export'!$C:$C,'Forecast 1'!$B49,'Bank Statement Export'!$A:$A,'Forecast 1'!T$7)</f>
        <v>0</v>
      </c>
      <c r="U49" s="39">
        <f>SUMIFS('Bank Statement Export'!$I:$I,'Bank Statement Export'!$C:$C,'Forecast 1'!$B49,'Bank Statement Export'!$A:$A,'Forecast 1'!U$7)</f>
        <v>0</v>
      </c>
      <c r="V49" s="39">
        <f>SUMIFS('Bank Statement Export'!$I:$I,'Bank Statement Export'!$C:$C,'Forecast 1'!$B49,'Bank Statement Export'!$A:$A,'Forecast 1'!V$7)</f>
        <v>0</v>
      </c>
    </row>
    <row r="50" spans="1:22" x14ac:dyDescent="0.2">
      <c r="A50" s="69"/>
      <c r="B50" s="23" t="s">
        <v>78</v>
      </c>
      <c r="C50" s="22" t="s">
        <v>56</v>
      </c>
      <c r="D50" s="39">
        <f>SUMIFS('Bank Statement Export'!$I:$I,'Bank Statement Export'!$C:$C,'Forecast 1'!$B50,'Bank Statement Export'!$A:$A,'Forecast 1'!D$7)</f>
        <v>0</v>
      </c>
      <c r="E50" s="39">
        <f>SUMIFS('Bank Statement Export'!$I:$I,'Bank Statement Export'!$C:$C,'Forecast 1'!$B50,'Bank Statement Export'!$A:$A,'Forecast 1'!E$7)</f>
        <v>0</v>
      </c>
      <c r="F50" s="39">
        <f>SUMIFS('Bank Statement Export'!$I:$I,'Bank Statement Export'!$C:$C,'Forecast 1'!$B50,'Bank Statement Export'!$A:$A,'Forecast 1'!F$7)</f>
        <v>0</v>
      </c>
      <c r="G50" s="39">
        <f>SUMIFS('Bank Statement Export'!$I:$I,'Bank Statement Export'!$C:$C,'Forecast 1'!$B50,'Bank Statement Export'!$A:$A,'Forecast 1'!G$7)</f>
        <v>0</v>
      </c>
      <c r="H50" s="39">
        <f>SUMIFS('Bank Statement Export'!$I:$I,'Bank Statement Export'!$C:$C,'Forecast 1'!$B50,'Bank Statement Export'!$A:$A,'Forecast 1'!H$7)</f>
        <v>0</v>
      </c>
      <c r="I50" s="39">
        <f>SUMIFS('Bank Statement Export'!$I:$I,'Bank Statement Export'!$C:$C,'Forecast 1'!$B50,'Bank Statement Export'!$A:$A,'Forecast 1'!I$7)</f>
        <v>0</v>
      </c>
      <c r="J50" s="39">
        <f>SUMIFS('Bank Statement Export'!$I:$I,'Bank Statement Export'!$C:$C,'Forecast 1'!$B50,'Bank Statement Export'!$A:$A,'Forecast 1'!J$7)</f>
        <v>0</v>
      </c>
      <c r="K50" s="39">
        <f>SUMIFS('Bank Statement Export'!$I:$I,'Bank Statement Export'!$C:$C,'Forecast 1'!$B50,'Bank Statement Export'!$A:$A,'Forecast 1'!K$7)</f>
        <v>0</v>
      </c>
      <c r="L50" s="39">
        <f>SUMIFS('Bank Statement Export'!$I:$I,'Bank Statement Export'!$C:$C,'Forecast 1'!$B50,'Bank Statement Export'!$A:$A,'Forecast 1'!L$7)</f>
        <v>0</v>
      </c>
      <c r="M50" s="39">
        <f>SUMIFS('Bank Statement Export'!$I:$I,'Bank Statement Export'!$C:$C,'Forecast 1'!$B50,'Bank Statement Export'!$A:$A,'Forecast 1'!M$7)</f>
        <v>0</v>
      </c>
      <c r="N50" s="39">
        <f>SUMIFS('Bank Statement Export'!$I:$I,'Bank Statement Export'!$C:$C,'Forecast 1'!$B50,'Bank Statement Export'!$A:$A,'Forecast 1'!N$7)</f>
        <v>0</v>
      </c>
      <c r="O50" s="39">
        <f>SUMIFS('Bank Statement Export'!$I:$I,'Bank Statement Export'!$C:$C,'Forecast 1'!$B50,'Bank Statement Export'!$A:$A,'Forecast 1'!O$7)</f>
        <v>0</v>
      </c>
      <c r="P50" s="39">
        <f>SUMIFS('Bank Statement Export'!$I:$I,'Bank Statement Export'!$C:$C,'Forecast 1'!$B50,'Bank Statement Export'!$A:$A,'Forecast 1'!P$7)</f>
        <v>0</v>
      </c>
      <c r="Q50" s="39">
        <f>SUMIFS('Bank Statement Export'!$I:$I,'Bank Statement Export'!$C:$C,'Forecast 1'!$B50,'Bank Statement Export'!$A:$A,'Forecast 1'!Q$7)</f>
        <v>0</v>
      </c>
      <c r="R50" s="39">
        <f>SUMIFS('Bank Statement Export'!$I:$I,'Bank Statement Export'!$C:$C,'Forecast 1'!$B50,'Bank Statement Export'!$A:$A,'Forecast 1'!R$7)</f>
        <v>0</v>
      </c>
      <c r="S50" s="39">
        <f>SUMIFS('Bank Statement Export'!$I:$I,'Bank Statement Export'!$C:$C,'Forecast 1'!$B50,'Bank Statement Export'!$A:$A,'Forecast 1'!S$7)</f>
        <v>0</v>
      </c>
      <c r="T50" s="39">
        <f>SUMIFS('Bank Statement Export'!$I:$I,'Bank Statement Export'!$C:$C,'Forecast 1'!$B50,'Bank Statement Export'!$A:$A,'Forecast 1'!T$7)</f>
        <v>0</v>
      </c>
      <c r="U50" s="39">
        <f>SUMIFS('Bank Statement Export'!$I:$I,'Bank Statement Export'!$C:$C,'Forecast 1'!$B50,'Bank Statement Export'!$A:$A,'Forecast 1'!U$7)</f>
        <v>0</v>
      </c>
      <c r="V50" s="39">
        <f>SUMIFS('Bank Statement Export'!$I:$I,'Bank Statement Export'!$C:$C,'Forecast 1'!$B50,'Bank Statement Export'!$A:$A,'Forecast 1'!V$7)</f>
        <v>0</v>
      </c>
    </row>
    <row r="51" spans="1:22" x14ac:dyDescent="0.2">
      <c r="A51" s="69"/>
      <c r="B51" s="23" t="s">
        <v>79</v>
      </c>
      <c r="C51" s="22" t="s">
        <v>56</v>
      </c>
      <c r="D51" s="39">
        <f>SUMIFS('Bank Statement Export'!$I:$I,'Bank Statement Export'!$C:$C,'Forecast 1'!$B51,'Bank Statement Export'!$A:$A,'Forecast 1'!D$7)</f>
        <v>0</v>
      </c>
      <c r="E51" s="39">
        <f>SUMIFS('Bank Statement Export'!$I:$I,'Bank Statement Export'!$C:$C,'Forecast 1'!$B51,'Bank Statement Export'!$A:$A,'Forecast 1'!E$7)</f>
        <v>0</v>
      </c>
      <c r="F51" s="39">
        <f>SUMIFS('Bank Statement Export'!$I:$I,'Bank Statement Export'!$C:$C,'Forecast 1'!$B51,'Bank Statement Export'!$A:$A,'Forecast 1'!F$7)</f>
        <v>0</v>
      </c>
      <c r="G51" s="39">
        <f>SUMIFS('Bank Statement Export'!$I:$I,'Bank Statement Export'!$C:$C,'Forecast 1'!$B51,'Bank Statement Export'!$A:$A,'Forecast 1'!G$7)</f>
        <v>0</v>
      </c>
      <c r="H51" s="39">
        <f>SUMIFS('Bank Statement Export'!$I:$I,'Bank Statement Export'!$C:$C,'Forecast 1'!$B51,'Bank Statement Export'!$A:$A,'Forecast 1'!H$7)</f>
        <v>0</v>
      </c>
      <c r="I51" s="39">
        <f>SUMIFS('Bank Statement Export'!$I:$I,'Bank Statement Export'!$C:$C,'Forecast 1'!$B51,'Bank Statement Export'!$A:$A,'Forecast 1'!I$7)</f>
        <v>0</v>
      </c>
      <c r="J51" s="39">
        <f>SUMIFS('Bank Statement Export'!$I:$I,'Bank Statement Export'!$C:$C,'Forecast 1'!$B51,'Bank Statement Export'!$A:$A,'Forecast 1'!J$7)</f>
        <v>0</v>
      </c>
      <c r="K51" s="39">
        <f>SUMIFS('Bank Statement Export'!$I:$I,'Bank Statement Export'!$C:$C,'Forecast 1'!$B51,'Bank Statement Export'!$A:$A,'Forecast 1'!K$7)</f>
        <v>0</v>
      </c>
      <c r="L51" s="39">
        <f>SUMIFS('Bank Statement Export'!$I:$I,'Bank Statement Export'!$C:$C,'Forecast 1'!$B51,'Bank Statement Export'!$A:$A,'Forecast 1'!L$7)</f>
        <v>0</v>
      </c>
      <c r="M51" s="39">
        <f>SUMIFS('Bank Statement Export'!$I:$I,'Bank Statement Export'!$C:$C,'Forecast 1'!$B51,'Bank Statement Export'!$A:$A,'Forecast 1'!M$7)</f>
        <v>0</v>
      </c>
      <c r="N51" s="39">
        <f>SUMIFS('Bank Statement Export'!$I:$I,'Bank Statement Export'!$C:$C,'Forecast 1'!$B51,'Bank Statement Export'!$A:$A,'Forecast 1'!N$7)</f>
        <v>0</v>
      </c>
      <c r="O51" s="39">
        <f>SUMIFS('Bank Statement Export'!$I:$I,'Bank Statement Export'!$C:$C,'Forecast 1'!$B51,'Bank Statement Export'!$A:$A,'Forecast 1'!O$7)</f>
        <v>0</v>
      </c>
      <c r="P51" s="39">
        <f>SUMIFS('Bank Statement Export'!$I:$I,'Bank Statement Export'!$C:$C,'Forecast 1'!$B51,'Bank Statement Export'!$A:$A,'Forecast 1'!P$7)</f>
        <v>0</v>
      </c>
      <c r="Q51" s="39">
        <f>SUMIFS('Bank Statement Export'!$I:$I,'Bank Statement Export'!$C:$C,'Forecast 1'!$B51,'Bank Statement Export'!$A:$A,'Forecast 1'!Q$7)</f>
        <v>0</v>
      </c>
      <c r="R51" s="39">
        <f>SUMIFS('Bank Statement Export'!$I:$I,'Bank Statement Export'!$C:$C,'Forecast 1'!$B51,'Bank Statement Export'!$A:$A,'Forecast 1'!R$7)</f>
        <v>0</v>
      </c>
      <c r="S51" s="39">
        <f>SUMIFS('Bank Statement Export'!$I:$I,'Bank Statement Export'!$C:$C,'Forecast 1'!$B51,'Bank Statement Export'!$A:$A,'Forecast 1'!S$7)</f>
        <v>0</v>
      </c>
      <c r="T51" s="39">
        <f>SUMIFS('Bank Statement Export'!$I:$I,'Bank Statement Export'!$C:$C,'Forecast 1'!$B51,'Bank Statement Export'!$A:$A,'Forecast 1'!T$7)</f>
        <v>0</v>
      </c>
      <c r="U51" s="39">
        <f>SUMIFS('Bank Statement Export'!$I:$I,'Bank Statement Export'!$C:$C,'Forecast 1'!$B51,'Bank Statement Export'!$A:$A,'Forecast 1'!U$7)</f>
        <v>0</v>
      </c>
      <c r="V51" s="39">
        <f>SUMIFS('Bank Statement Export'!$I:$I,'Bank Statement Export'!$C:$C,'Forecast 1'!$B51,'Bank Statement Export'!$A:$A,'Forecast 1'!V$7)</f>
        <v>0</v>
      </c>
    </row>
    <row r="52" spans="1:22" x14ac:dyDescent="0.2">
      <c r="A52" s="69"/>
      <c r="B52" s="23" t="s">
        <v>80</v>
      </c>
      <c r="C52" s="22" t="s">
        <v>56</v>
      </c>
      <c r="D52" s="39">
        <f>SUMIFS('Bank Statement Export'!$I:$I,'Bank Statement Export'!$C:$C,'Forecast 1'!$B52,'Bank Statement Export'!$A:$A,'Forecast 1'!D$7)</f>
        <v>0</v>
      </c>
      <c r="E52" s="39">
        <f>SUMIFS('Bank Statement Export'!$I:$I,'Bank Statement Export'!$C:$C,'Forecast 1'!$B52,'Bank Statement Export'!$A:$A,'Forecast 1'!E$7)</f>
        <v>0</v>
      </c>
      <c r="F52" s="39">
        <f>SUMIFS('Bank Statement Export'!$I:$I,'Bank Statement Export'!$C:$C,'Forecast 1'!$B52,'Bank Statement Export'!$A:$A,'Forecast 1'!F$7)</f>
        <v>0</v>
      </c>
      <c r="G52" s="39">
        <f>SUMIFS('Bank Statement Export'!$I:$I,'Bank Statement Export'!$C:$C,'Forecast 1'!$B52,'Bank Statement Export'!$A:$A,'Forecast 1'!G$7)</f>
        <v>0</v>
      </c>
      <c r="H52" s="39">
        <f>SUMIFS('Bank Statement Export'!$I:$I,'Bank Statement Export'!$C:$C,'Forecast 1'!$B52,'Bank Statement Export'!$A:$A,'Forecast 1'!H$7)</f>
        <v>0</v>
      </c>
      <c r="I52" s="39">
        <f>SUMIFS('Bank Statement Export'!$I:$I,'Bank Statement Export'!$C:$C,'Forecast 1'!$B52,'Bank Statement Export'!$A:$A,'Forecast 1'!I$7)</f>
        <v>0</v>
      </c>
      <c r="J52" s="39">
        <f>SUMIFS('Bank Statement Export'!$I:$I,'Bank Statement Export'!$C:$C,'Forecast 1'!$B52,'Bank Statement Export'!$A:$A,'Forecast 1'!J$7)</f>
        <v>0</v>
      </c>
      <c r="K52" s="39">
        <f>SUMIFS('Bank Statement Export'!$I:$I,'Bank Statement Export'!$C:$C,'Forecast 1'!$B52,'Bank Statement Export'!$A:$A,'Forecast 1'!K$7)</f>
        <v>0</v>
      </c>
      <c r="L52" s="39">
        <f>SUMIFS('Bank Statement Export'!$I:$I,'Bank Statement Export'!$C:$C,'Forecast 1'!$B52,'Bank Statement Export'!$A:$A,'Forecast 1'!L$7)</f>
        <v>0</v>
      </c>
      <c r="M52" s="39">
        <f>SUMIFS('Bank Statement Export'!$I:$I,'Bank Statement Export'!$C:$C,'Forecast 1'!$B52,'Bank Statement Export'!$A:$A,'Forecast 1'!M$7)</f>
        <v>0</v>
      </c>
      <c r="N52" s="39">
        <f>SUMIFS('Bank Statement Export'!$I:$I,'Bank Statement Export'!$C:$C,'Forecast 1'!$B52,'Bank Statement Export'!$A:$A,'Forecast 1'!N$7)</f>
        <v>0</v>
      </c>
      <c r="O52" s="39">
        <f>SUMIFS('Bank Statement Export'!$I:$I,'Bank Statement Export'!$C:$C,'Forecast 1'!$B52,'Bank Statement Export'!$A:$A,'Forecast 1'!O$7)</f>
        <v>0</v>
      </c>
      <c r="P52" s="39">
        <f>SUMIFS('Bank Statement Export'!$I:$I,'Bank Statement Export'!$C:$C,'Forecast 1'!$B52,'Bank Statement Export'!$A:$A,'Forecast 1'!P$7)</f>
        <v>0</v>
      </c>
      <c r="Q52" s="39">
        <f>SUMIFS('Bank Statement Export'!$I:$I,'Bank Statement Export'!$C:$C,'Forecast 1'!$B52,'Bank Statement Export'!$A:$A,'Forecast 1'!Q$7)</f>
        <v>0</v>
      </c>
      <c r="R52" s="39">
        <f>SUMIFS('Bank Statement Export'!$I:$I,'Bank Statement Export'!$C:$C,'Forecast 1'!$B52,'Bank Statement Export'!$A:$A,'Forecast 1'!R$7)</f>
        <v>0</v>
      </c>
      <c r="S52" s="39">
        <f>SUMIFS('Bank Statement Export'!$I:$I,'Bank Statement Export'!$C:$C,'Forecast 1'!$B52,'Bank Statement Export'!$A:$A,'Forecast 1'!S$7)</f>
        <v>0</v>
      </c>
      <c r="T52" s="39">
        <f>SUMIFS('Bank Statement Export'!$I:$I,'Bank Statement Export'!$C:$C,'Forecast 1'!$B52,'Bank Statement Export'!$A:$A,'Forecast 1'!T$7)</f>
        <v>0</v>
      </c>
      <c r="U52" s="39">
        <f>SUMIFS('Bank Statement Export'!$I:$I,'Bank Statement Export'!$C:$C,'Forecast 1'!$B52,'Bank Statement Export'!$A:$A,'Forecast 1'!U$7)</f>
        <v>0</v>
      </c>
      <c r="V52" s="39">
        <f>SUMIFS('Bank Statement Export'!$I:$I,'Bank Statement Export'!$C:$C,'Forecast 1'!$B52,'Bank Statement Export'!$A:$A,'Forecast 1'!V$7)</f>
        <v>0</v>
      </c>
    </row>
    <row r="53" spans="1:22" x14ac:dyDescent="0.2">
      <c r="A53" s="69"/>
      <c r="B53" s="23" t="s">
        <v>81</v>
      </c>
      <c r="C53" s="22" t="s">
        <v>54</v>
      </c>
      <c r="D53" s="39">
        <f>SUMIFS('Bank Statement Export'!$I:$I,'Bank Statement Export'!$C:$C,'Forecast 1'!$B53,'Bank Statement Export'!$A:$A,'Forecast 1'!D$7)</f>
        <v>-21230</v>
      </c>
      <c r="E53" s="39">
        <f>SUMIFS('Bank Statement Export'!$I:$I,'Bank Statement Export'!$C:$C,'Forecast 1'!$B53,'Bank Statement Export'!$A:$A,'Forecast 1'!E$7)</f>
        <v>-24740</v>
      </c>
      <c r="F53" s="39">
        <f>SUMIFS('Bank Statement Export'!$I:$I,'Bank Statement Export'!$C:$C,'Forecast 1'!$B53,'Bank Statement Export'!$A:$A,'Forecast 1'!F$7)</f>
        <v>-20220</v>
      </c>
      <c r="G53" s="39">
        <f>SUMIFS('Bank Statement Export'!$I:$I,'Bank Statement Export'!$C:$C,'Forecast 1'!$B53,'Bank Statement Export'!$A:$A,'Forecast 1'!G$7)</f>
        <v>-14200</v>
      </c>
      <c r="H53" s="39">
        <f>SUMIFS('Bank Statement Export'!$I:$I,'Bank Statement Export'!$C:$C,'Forecast 1'!$B53,'Bank Statement Export'!$A:$A,'Forecast 1'!H$7)</f>
        <v>-12680</v>
      </c>
      <c r="I53" s="39">
        <f>SUMIFS('Bank Statement Export'!$I:$I,'Bank Statement Export'!$C:$C,'Forecast 1'!$B53,'Bank Statement Export'!$A:$A,'Forecast 1'!I$7)</f>
        <v>-12340</v>
      </c>
      <c r="J53" s="39">
        <f>AVERAGE(D53:I53)</f>
        <v>-17568.333333333332</v>
      </c>
      <c r="K53" s="39">
        <f t="shared" ref="K53" si="47">AVERAGE(E53:J53)</f>
        <v>-16958.055555555555</v>
      </c>
      <c r="L53" s="39">
        <f t="shared" ref="L53" si="48">AVERAGE(F53:K53)</f>
        <v>-15661.064814814812</v>
      </c>
      <c r="M53" s="39">
        <f t="shared" ref="M53" si="49">AVERAGE(G53:L53)</f>
        <v>-14901.242283950616</v>
      </c>
      <c r="N53" s="39">
        <f t="shared" ref="N53" si="50">AVERAGE(H53:M53)</f>
        <v>-15018.115997942385</v>
      </c>
      <c r="O53" s="39">
        <f t="shared" ref="O53" si="51">AVERAGE(I53:N53)</f>
        <v>-15407.801997599448</v>
      </c>
      <c r="P53" s="39">
        <f t="shared" ref="P53" si="52">AVERAGE(J53:O53)</f>
        <v>-15919.102330532694</v>
      </c>
      <c r="Q53" s="39">
        <f t="shared" ref="Q53" si="53">AVERAGE(K53:P53)</f>
        <v>-15644.230496732585</v>
      </c>
      <c r="R53" s="39">
        <f t="shared" ref="R53" si="54">AVERAGE(L53:Q53)</f>
        <v>-15425.259653595424</v>
      </c>
      <c r="S53" s="39">
        <f t="shared" ref="S53" si="55">AVERAGE(M53:R53)</f>
        <v>-15385.958793392192</v>
      </c>
      <c r="T53" s="39">
        <f t="shared" ref="T53" si="56">AVERAGE(N53:S53)</f>
        <v>-15466.74487829912</v>
      </c>
      <c r="U53" s="39">
        <f t="shared" ref="U53" si="57">AVERAGE(O53:T53)</f>
        <v>-15541.516358358576</v>
      </c>
      <c r="V53" s="39">
        <f t="shared" ref="V53" si="58">AVERAGE(P53:U53)</f>
        <v>-15563.802085151765</v>
      </c>
    </row>
    <row r="54" spans="1:22" x14ac:dyDescent="0.2">
      <c r="A54" s="69"/>
      <c r="B54" s="23" t="s">
        <v>82</v>
      </c>
      <c r="C54" s="22" t="s">
        <v>56</v>
      </c>
      <c r="D54" s="39">
        <f>SUMIFS('Bank Statement Export'!$I:$I,'Bank Statement Export'!$C:$C,'Forecast 1'!$B54,'Bank Statement Export'!$A:$A,'Forecast 1'!D$7)</f>
        <v>0</v>
      </c>
      <c r="E54" s="39">
        <f>SUMIFS('Bank Statement Export'!$I:$I,'Bank Statement Export'!$C:$C,'Forecast 1'!$B54,'Bank Statement Export'!$A:$A,'Forecast 1'!E$7)</f>
        <v>0</v>
      </c>
      <c r="F54" s="39">
        <f>SUMIFS('Bank Statement Export'!$I:$I,'Bank Statement Export'!$C:$C,'Forecast 1'!$B54,'Bank Statement Export'!$A:$A,'Forecast 1'!F$7)</f>
        <v>0</v>
      </c>
      <c r="G54" s="39">
        <f>SUMIFS('Bank Statement Export'!$I:$I,'Bank Statement Export'!$C:$C,'Forecast 1'!$B54,'Bank Statement Export'!$A:$A,'Forecast 1'!G$7)</f>
        <v>0</v>
      </c>
      <c r="H54" s="39">
        <f>SUMIFS('Bank Statement Export'!$I:$I,'Bank Statement Export'!$C:$C,'Forecast 1'!$B54,'Bank Statement Export'!$A:$A,'Forecast 1'!H$7)</f>
        <v>0</v>
      </c>
      <c r="I54" s="39">
        <f>SUMIFS('Bank Statement Export'!$I:$I,'Bank Statement Export'!$C:$C,'Forecast 1'!$B54,'Bank Statement Export'!$A:$A,'Forecast 1'!I$7)</f>
        <v>0</v>
      </c>
      <c r="J54" s="39">
        <f>SUMIFS('Bank Statement Export'!$I:$I,'Bank Statement Export'!$C:$C,'Forecast 1'!$B54,'Bank Statement Export'!$A:$A,'Forecast 1'!J$7)</f>
        <v>0</v>
      </c>
      <c r="K54" s="39">
        <f>SUMIFS('Bank Statement Export'!$I:$I,'Bank Statement Export'!$C:$C,'Forecast 1'!$B54,'Bank Statement Export'!$A:$A,'Forecast 1'!K$7)</f>
        <v>0</v>
      </c>
      <c r="L54" s="39">
        <f>SUMIFS('Bank Statement Export'!$I:$I,'Bank Statement Export'!$C:$C,'Forecast 1'!$B54,'Bank Statement Export'!$A:$A,'Forecast 1'!L$7)</f>
        <v>0</v>
      </c>
      <c r="M54" s="39">
        <f>SUMIFS('Bank Statement Export'!$I:$I,'Bank Statement Export'!$C:$C,'Forecast 1'!$B54,'Bank Statement Export'!$A:$A,'Forecast 1'!M$7)</f>
        <v>0</v>
      </c>
      <c r="N54" s="39">
        <f>SUMIFS('Bank Statement Export'!$I:$I,'Bank Statement Export'!$C:$C,'Forecast 1'!$B54,'Bank Statement Export'!$A:$A,'Forecast 1'!N$7)</f>
        <v>0</v>
      </c>
      <c r="O54" s="39">
        <f>SUMIFS('Bank Statement Export'!$I:$I,'Bank Statement Export'!$C:$C,'Forecast 1'!$B54,'Bank Statement Export'!$A:$A,'Forecast 1'!O$7)</f>
        <v>0</v>
      </c>
      <c r="P54" s="39">
        <f>SUMIFS('Bank Statement Export'!$I:$I,'Bank Statement Export'!$C:$C,'Forecast 1'!$B54,'Bank Statement Export'!$A:$A,'Forecast 1'!P$7)</f>
        <v>0</v>
      </c>
      <c r="Q54" s="39">
        <f>SUMIFS('Bank Statement Export'!$I:$I,'Bank Statement Export'!$C:$C,'Forecast 1'!$B54,'Bank Statement Export'!$A:$A,'Forecast 1'!Q$7)</f>
        <v>0</v>
      </c>
      <c r="R54" s="39">
        <f>SUMIFS('Bank Statement Export'!$I:$I,'Bank Statement Export'!$C:$C,'Forecast 1'!$B54,'Bank Statement Export'!$A:$A,'Forecast 1'!R$7)</f>
        <v>0</v>
      </c>
      <c r="S54" s="39">
        <f>SUMIFS('Bank Statement Export'!$I:$I,'Bank Statement Export'!$C:$C,'Forecast 1'!$B54,'Bank Statement Export'!$A:$A,'Forecast 1'!S$7)</f>
        <v>0</v>
      </c>
      <c r="T54" s="39">
        <f>SUMIFS('Bank Statement Export'!$I:$I,'Bank Statement Export'!$C:$C,'Forecast 1'!$B54,'Bank Statement Export'!$A:$A,'Forecast 1'!T$7)</f>
        <v>0</v>
      </c>
      <c r="U54" s="39">
        <f>SUMIFS('Bank Statement Export'!$I:$I,'Bank Statement Export'!$C:$C,'Forecast 1'!$B54,'Bank Statement Export'!$A:$A,'Forecast 1'!U$7)</f>
        <v>0</v>
      </c>
      <c r="V54" s="39">
        <f>SUMIFS('Bank Statement Export'!$I:$I,'Bank Statement Export'!$C:$C,'Forecast 1'!$B54,'Bank Statement Export'!$A:$A,'Forecast 1'!V$7)</f>
        <v>0</v>
      </c>
    </row>
    <row r="55" spans="1:22" x14ac:dyDescent="0.2">
      <c r="A55" s="69"/>
      <c r="B55" s="23" t="s">
        <v>83</v>
      </c>
      <c r="C55" s="22" t="s">
        <v>56</v>
      </c>
      <c r="D55" s="39">
        <f>SUMIFS('Bank Statement Export'!$I:$I,'Bank Statement Export'!$C:$C,'Forecast 1'!$B55,'Bank Statement Export'!$A:$A,'Forecast 1'!D$7)</f>
        <v>0</v>
      </c>
      <c r="E55" s="39">
        <f>SUMIFS('Bank Statement Export'!$I:$I,'Bank Statement Export'!$C:$C,'Forecast 1'!$B55,'Bank Statement Export'!$A:$A,'Forecast 1'!E$7)</f>
        <v>0</v>
      </c>
      <c r="F55" s="39">
        <f>SUMIFS('Bank Statement Export'!$I:$I,'Bank Statement Export'!$C:$C,'Forecast 1'!$B55,'Bank Statement Export'!$A:$A,'Forecast 1'!F$7)</f>
        <v>0</v>
      </c>
      <c r="G55" s="39">
        <f>SUMIFS('Bank Statement Export'!$I:$I,'Bank Statement Export'!$C:$C,'Forecast 1'!$B55,'Bank Statement Export'!$A:$A,'Forecast 1'!G$7)</f>
        <v>0</v>
      </c>
      <c r="H55" s="39">
        <f>SUMIFS('Bank Statement Export'!$I:$I,'Bank Statement Export'!$C:$C,'Forecast 1'!$B55,'Bank Statement Export'!$A:$A,'Forecast 1'!H$7)</f>
        <v>0</v>
      </c>
      <c r="I55" s="39">
        <f>SUMIFS('Bank Statement Export'!$I:$I,'Bank Statement Export'!$C:$C,'Forecast 1'!$B55,'Bank Statement Export'!$A:$A,'Forecast 1'!I$7)</f>
        <v>0</v>
      </c>
      <c r="J55" s="39">
        <f>SUMIFS('Bank Statement Export'!$I:$I,'Bank Statement Export'!$C:$C,'Forecast 1'!$B55,'Bank Statement Export'!$A:$A,'Forecast 1'!J$7)</f>
        <v>0</v>
      </c>
      <c r="K55" s="39">
        <f>SUMIFS('Bank Statement Export'!$I:$I,'Bank Statement Export'!$C:$C,'Forecast 1'!$B55,'Bank Statement Export'!$A:$A,'Forecast 1'!K$7)</f>
        <v>0</v>
      </c>
      <c r="L55" s="39">
        <f>SUMIFS('Bank Statement Export'!$I:$I,'Bank Statement Export'!$C:$C,'Forecast 1'!$B55,'Bank Statement Export'!$A:$A,'Forecast 1'!L$7)</f>
        <v>0</v>
      </c>
      <c r="M55" s="39">
        <f>SUMIFS('Bank Statement Export'!$I:$I,'Bank Statement Export'!$C:$C,'Forecast 1'!$B55,'Bank Statement Export'!$A:$A,'Forecast 1'!M$7)</f>
        <v>0</v>
      </c>
      <c r="N55" s="39">
        <f>SUMIFS('Bank Statement Export'!$I:$I,'Bank Statement Export'!$C:$C,'Forecast 1'!$B55,'Bank Statement Export'!$A:$A,'Forecast 1'!N$7)</f>
        <v>0</v>
      </c>
      <c r="O55" s="39">
        <f>SUMIFS('Bank Statement Export'!$I:$I,'Bank Statement Export'!$C:$C,'Forecast 1'!$B55,'Bank Statement Export'!$A:$A,'Forecast 1'!O$7)</f>
        <v>0</v>
      </c>
      <c r="P55" s="39">
        <f>SUMIFS('Bank Statement Export'!$I:$I,'Bank Statement Export'!$C:$C,'Forecast 1'!$B55,'Bank Statement Export'!$A:$A,'Forecast 1'!P$7)</f>
        <v>0</v>
      </c>
      <c r="Q55" s="39">
        <f>SUMIFS('Bank Statement Export'!$I:$I,'Bank Statement Export'!$C:$C,'Forecast 1'!$B55,'Bank Statement Export'!$A:$A,'Forecast 1'!Q$7)</f>
        <v>0</v>
      </c>
      <c r="R55" s="39">
        <f>SUMIFS('Bank Statement Export'!$I:$I,'Bank Statement Export'!$C:$C,'Forecast 1'!$B55,'Bank Statement Export'!$A:$A,'Forecast 1'!R$7)</f>
        <v>0</v>
      </c>
      <c r="S55" s="39">
        <f>SUMIFS('Bank Statement Export'!$I:$I,'Bank Statement Export'!$C:$C,'Forecast 1'!$B55,'Bank Statement Export'!$A:$A,'Forecast 1'!S$7)</f>
        <v>0</v>
      </c>
      <c r="T55" s="39">
        <f>SUMIFS('Bank Statement Export'!$I:$I,'Bank Statement Export'!$C:$C,'Forecast 1'!$B55,'Bank Statement Export'!$A:$A,'Forecast 1'!T$7)</f>
        <v>0</v>
      </c>
      <c r="U55" s="39">
        <f>SUMIFS('Bank Statement Export'!$I:$I,'Bank Statement Export'!$C:$C,'Forecast 1'!$B55,'Bank Statement Export'!$A:$A,'Forecast 1'!U$7)</f>
        <v>0</v>
      </c>
      <c r="V55" s="39">
        <f>SUMIFS('Bank Statement Export'!$I:$I,'Bank Statement Export'!$C:$C,'Forecast 1'!$B55,'Bank Statement Export'!$A:$A,'Forecast 1'!V$7)</f>
        <v>0</v>
      </c>
    </row>
    <row r="56" spans="1:22" x14ac:dyDescent="0.2">
      <c r="A56" s="69"/>
      <c r="B56" s="23" t="s">
        <v>84</v>
      </c>
      <c r="C56" s="22" t="s">
        <v>54</v>
      </c>
      <c r="D56" s="39">
        <f>SUMIFS('Bank Statement Export'!$I:$I,'Bank Statement Export'!$C:$C,'Forecast 1'!$B56,'Bank Statement Export'!$A:$A,'Forecast 1'!D$7)</f>
        <v>0</v>
      </c>
      <c r="E56" s="39">
        <f>SUMIFS('Bank Statement Export'!$I:$I,'Bank Statement Export'!$C:$C,'Forecast 1'!$B56,'Bank Statement Export'!$A:$A,'Forecast 1'!E$7)</f>
        <v>-8580</v>
      </c>
      <c r="F56" s="39">
        <f>SUMIFS('Bank Statement Export'!$I:$I,'Bank Statement Export'!$C:$C,'Forecast 1'!$B56,'Bank Statement Export'!$A:$A,'Forecast 1'!F$7)</f>
        <v>0</v>
      </c>
      <c r="G56" s="39">
        <f>SUMIFS('Bank Statement Export'!$I:$I,'Bank Statement Export'!$C:$C,'Forecast 1'!$B56,'Bank Statement Export'!$A:$A,'Forecast 1'!G$7)</f>
        <v>-1140</v>
      </c>
      <c r="H56" s="39">
        <f>SUMIFS('Bank Statement Export'!$I:$I,'Bank Statement Export'!$C:$C,'Forecast 1'!$B56,'Bank Statement Export'!$A:$A,'Forecast 1'!H$7)</f>
        <v>0</v>
      </c>
      <c r="I56" s="39">
        <f>SUMIFS('Bank Statement Export'!$I:$I,'Bank Statement Export'!$C:$C,'Forecast 1'!$B56,'Bank Statement Export'!$A:$A,'Forecast 1'!I$7)</f>
        <v>0</v>
      </c>
      <c r="J56" s="39">
        <f>AVERAGE(D56:I56)</f>
        <v>-1620</v>
      </c>
      <c r="K56" s="39">
        <f t="shared" ref="K56" si="59">AVERAGE(E56:J56)</f>
        <v>-1890</v>
      </c>
      <c r="L56" s="39">
        <f t="shared" ref="L56" si="60">AVERAGE(F56:K56)</f>
        <v>-775</v>
      </c>
      <c r="M56" s="39">
        <f t="shared" ref="M56" si="61">AVERAGE(G56:L56)</f>
        <v>-904.16666666666663</v>
      </c>
      <c r="N56" s="39">
        <f t="shared" ref="N56" si="62">AVERAGE(H56:M56)</f>
        <v>-864.8611111111112</v>
      </c>
      <c r="O56" s="39">
        <f t="shared" ref="O56" si="63">AVERAGE(I56:N56)</f>
        <v>-1009.0046296296297</v>
      </c>
      <c r="P56" s="39">
        <f t="shared" ref="P56" si="64">AVERAGE(J56:O56)</f>
        <v>-1177.1720679012346</v>
      </c>
      <c r="Q56" s="39">
        <f t="shared" ref="Q56" si="65">AVERAGE(K56:P56)</f>
        <v>-1103.3674125514401</v>
      </c>
      <c r="R56" s="39">
        <f t="shared" ref="R56" si="66">AVERAGE(L56:Q56)</f>
        <v>-972.26198131001365</v>
      </c>
      <c r="S56" s="39">
        <f t="shared" ref="S56" si="67">AVERAGE(M56:R56)</f>
        <v>-1005.138978195016</v>
      </c>
      <c r="T56" s="39">
        <f t="shared" ref="T56" si="68">AVERAGE(N56:S56)</f>
        <v>-1021.9676967830742</v>
      </c>
      <c r="U56" s="39">
        <f t="shared" ref="U56" si="69">AVERAGE(O56:T56)</f>
        <v>-1048.1521277284012</v>
      </c>
      <c r="V56" s="39">
        <f t="shared" ref="V56" si="70">AVERAGE(P56:U56)</f>
        <v>-1054.6767107448632</v>
      </c>
    </row>
    <row r="57" spans="1:22" x14ac:dyDescent="0.2">
      <c r="A57" s="69"/>
      <c r="D57" s="32"/>
      <c r="E57" s="32"/>
      <c r="F57" s="32"/>
      <c r="G57" s="32"/>
      <c r="H57" s="32"/>
      <c r="I57" s="32"/>
      <c r="J57" s="32"/>
      <c r="K57" s="32"/>
      <c r="L57" s="32"/>
      <c r="M57" s="32"/>
      <c r="N57" s="32"/>
      <c r="O57" s="32"/>
      <c r="P57" s="32"/>
      <c r="Q57" s="32"/>
      <c r="R57" s="32"/>
      <c r="S57" s="32"/>
      <c r="T57" s="32"/>
      <c r="U57" s="32"/>
      <c r="V57" s="32"/>
    </row>
    <row r="58" spans="1:22" x14ac:dyDescent="0.2">
      <c r="A58" s="69"/>
      <c r="B58" s="20" t="s">
        <v>89</v>
      </c>
      <c r="C58" s="21"/>
      <c r="D58" s="33">
        <f t="shared" ref="D58:V58" si="71">SUM(D49:D57)</f>
        <v>-21230</v>
      </c>
      <c r="E58" s="33">
        <f t="shared" si="71"/>
        <v>-33320</v>
      </c>
      <c r="F58" s="33">
        <f t="shared" si="71"/>
        <v>-20220</v>
      </c>
      <c r="G58" s="33">
        <f t="shared" si="71"/>
        <v>-15340</v>
      </c>
      <c r="H58" s="33">
        <f t="shared" si="71"/>
        <v>-12680</v>
      </c>
      <c r="I58" s="33">
        <f t="shared" si="71"/>
        <v>-12340</v>
      </c>
      <c r="J58" s="33">
        <f t="shared" si="71"/>
        <v>-19188.333333333332</v>
      </c>
      <c r="K58" s="33">
        <f t="shared" si="71"/>
        <v>-18848.055555555555</v>
      </c>
      <c r="L58" s="33">
        <f t="shared" si="71"/>
        <v>-16436.06481481481</v>
      </c>
      <c r="M58" s="33">
        <f t="shared" si="71"/>
        <v>-15805.408950617282</v>
      </c>
      <c r="N58" s="33">
        <f t="shared" si="71"/>
        <v>-15882.977109053496</v>
      </c>
      <c r="O58" s="33">
        <f t="shared" si="71"/>
        <v>-16416.806627229078</v>
      </c>
      <c r="P58" s="33">
        <f t="shared" si="71"/>
        <v>-17096.274398433929</v>
      </c>
      <c r="Q58" s="33">
        <f t="shared" si="71"/>
        <v>-16747.597909284024</v>
      </c>
      <c r="R58" s="33">
        <f t="shared" si="71"/>
        <v>-16397.521634905439</v>
      </c>
      <c r="S58" s="33">
        <f t="shared" si="71"/>
        <v>-16391.097771587207</v>
      </c>
      <c r="T58" s="33">
        <f t="shared" si="71"/>
        <v>-16488.712575082194</v>
      </c>
      <c r="U58" s="33">
        <f t="shared" si="71"/>
        <v>-16589.668486086979</v>
      </c>
      <c r="V58" s="33">
        <f t="shared" si="71"/>
        <v>-16618.478795896626</v>
      </c>
    </row>
    <row r="59" spans="1:22" ht="15" x14ac:dyDescent="0.25">
      <c r="A59" s="69"/>
      <c r="B59"/>
      <c r="C59" s="22"/>
      <c r="D59" s="34"/>
      <c r="E59" s="34"/>
      <c r="F59" s="34"/>
      <c r="G59" s="34"/>
      <c r="H59" s="34"/>
      <c r="I59" s="34"/>
      <c r="J59" s="34"/>
      <c r="K59" s="34"/>
      <c r="L59" s="34"/>
      <c r="M59" s="34"/>
      <c r="N59" s="34"/>
      <c r="O59" s="34"/>
      <c r="P59" s="34"/>
      <c r="Q59" s="34"/>
      <c r="R59" s="34"/>
      <c r="S59" s="34"/>
      <c r="T59" s="34"/>
      <c r="U59" s="34"/>
      <c r="V59" s="34"/>
    </row>
    <row r="60" spans="1:22" x14ac:dyDescent="0.2">
      <c r="A60" s="69"/>
      <c r="B60" s="25" t="s">
        <v>90</v>
      </c>
      <c r="C60" s="26"/>
      <c r="D60" s="35">
        <f>SUM(D21,D46,D58)</f>
        <v>-135370</v>
      </c>
      <c r="E60" s="35">
        <f t="shared" ref="E60:V60" si="72">SUM(E21,E46,E58)</f>
        <v>-36120</v>
      </c>
      <c r="F60" s="35">
        <f t="shared" si="72"/>
        <v>65020</v>
      </c>
      <c r="G60" s="35">
        <f t="shared" si="72"/>
        <v>-195750</v>
      </c>
      <c r="H60" s="35">
        <f t="shared" si="72"/>
        <v>281900</v>
      </c>
      <c r="I60" s="35">
        <f t="shared" si="72"/>
        <v>-110100</v>
      </c>
      <c r="J60" s="35">
        <f t="shared" si="72"/>
        <v>-103118.33333333333</v>
      </c>
      <c r="K60" s="35">
        <f t="shared" si="72"/>
        <v>44953.611111111117</v>
      </c>
      <c r="L60" s="35">
        <f t="shared" si="72"/>
        <v>242455.87962962964</v>
      </c>
      <c r="M60" s="35">
        <f t="shared" si="72"/>
        <v>15851.859567901229</v>
      </c>
      <c r="N60" s="35">
        <f t="shared" si="72"/>
        <v>-32571.163837448566</v>
      </c>
      <c r="O60" s="35">
        <f t="shared" si="72"/>
        <v>-66358.024477023326</v>
      </c>
      <c r="P60" s="35">
        <f t="shared" si="72"/>
        <v>203068.97144347281</v>
      </c>
      <c r="Q60" s="35">
        <f t="shared" si="72"/>
        <v>12700.188906273816</v>
      </c>
      <c r="R60" s="35">
        <f t="shared" si="72"/>
        <v>-59808.714794532381</v>
      </c>
      <c r="S60" s="35">
        <f t="shared" si="72"/>
        <v>-193302.81386522605</v>
      </c>
      <c r="T60" s="35">
        <f t="shared" si="72"/>
        <v>133221.40722925268</v>
      </c>
      <c r="U60" s="35">
        <f t="shared" si="72"/>
        <v>168020.16907370291</v>
      </c>
      <c r="V60" s="35">
        <f t="shared" si="72"/>
        <v>-289083.46533450938</v>
      </c>
    </row>
  </sheetData>
  <conditionalFormatting sqref="D2">
    <cfRule type="cellIs" dxfId="8" priority="1" operator="notEqual">
      <formula>0</formula>
    </cfRule>
    <cfRule type="cellIs" dxfId="7" priority="2" operator="greaterThan">
      <formula>0</formula>
    </cfRule>
    <cfRule type="cellIs" dxfId="6" priority="4" operator="equal">
      <formula>0</formula>
    </cfRule>
  </conditionalFormatting>
  <hyperlinks>
    <hyperlink ref="B1" r:id="rId1" display="https://thesharpeandsortino.com/" xr:uid="{DA652B4A-F26A-459C-BCF8-2351122378B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F612-A39F-4EC6-8F90-06EF83F6F05D}">
  <sheetPr>
    <tabColor theme="0" tint="-0.249977111117893"/>
  </sheetPr>
  <dimension ref="A1:J381"/>
  <sheetViews>
    <sheetView workbookViewId="0">
      <pane ySplit="1" topLeftCell="A2" activePane="bottomLeft" state="frozen"/>
      <selection pane="bottomLeft"/>
    </sheetView>
  </sheetViews>
  <sheetFormatPr defaultRowHeight="12.75" x14ac:dyDescent="0.2"/>
  <cols>
    <col min="1" max="1" width="14.140625" style="7" bestFit="1" customWidth="1"/>
    <col min="2" max="2" width="42.5703125" style="7" bestFit="1" customWidth="1"/>
    <col min="3" max="4" width="25.140625" style="7" bestFit="1" customWidth="1"/>
    <col min="5" max="5" width="21.42578125" style="7" bestFit="1" customWidth="1"/>
    <col min="6" max="6" width="10.42578125" style="9" bestFit="1" customWidth="1"/>
    <col min="7" max="7" width="14" style="9" bestFit="1" customWidth="1"/>
    <col min="8" max="8" width="39" style="9" bestFit="1" customWidth="1"/>
    <col min="9" max="9" width="11.42578125" style="11" bestFit="1" customWidth="1"/>
    <col min="10" max="10" width="11.140625" style="11" bestFit="1" customWidth="1"/>
    <col min="11" max="16384" width="9.140625" style="7"/>
  </cols>
  <sheetData>
    <row r="1" spans="1:10" x14ac:dyDescent="0.2">
      <c r="A1" s="7" t="s">
        <v>37</v>
      </c>
      <c r="B1" s="7" t="s">
        <v>38</v>
      </c>
      <c r="C1" s="7" t="s">
        <v>39</v>
      </c>
      <c r="D1" s="7" t="s">
        <v>40</v>
      </c>
      <c r="E1" s="7" t="s">
        <v>41</v>
      </c>
      <c r="F1" s="12" t="s">
        <v>9</v>
      </c>
      <c r="G1" s="12" t="s">
        <v>10</v>
      </c>
      <c r="H1" s="12" t="s">
        <v>11</v>
      </c>
      <c r="I1" s="13" t="s">
        <v>12</v>
      </c>
      <c r="J1" s="13" t="s">
        <v>13</v>
      </c>
    </row>
    <row r="2" spans="1:10" x14ac:dyDescent="0.2">
      <c r="A2" s="8">
        <f>F2+7-WEEKDAY(F2)</f>
        <v>45220</v>
      </c>
      <c r="B2" s="7" t="str">
        <f>CONCATENATE(E2," ",H2)</f>
        <v>1 WEB AUTHORIZED PMT KRYPTONIX</v>
      </c>
      <c r="C2" s="7" t="str">
        <f t="array" ref="C2">IFERROR(INDEX(Mapping!$B$2:$B$22,MATCH('Bank Statement Export'!B2,Mapping!$A$2:$A$22,0)),INDEX(Table3[Category],MATCH(TRUE,ISNUMBER(SEARCH(Table3[Unique ID Contains],B2)),0)))</f>
        <v>Dues &amp; Subscriptions</v>
      </c>
      <c r="D2" s="7" t="str">
        <f>INDEX('Forecast 1'!$B$9:$B$56,MATCH('Bank Statement Export'!C2,'Forecast 1'!$B$9:$B$56,0))</f>
        <v>Dues &amp; Subscriptions</v>
      </c>
      <c r="E2" s="14">
        <v>1</v>
      </c>
      <c r="F2" s="10">
        <v>45215</v>
      </c>
      <c r="G2" s="9" t="s">
        <v>14</v>
      </c>
      <c r="H2" s="9" t="s">
        <v>15</v>
      </c>
      <c r="I2" s="11">
        <v>-83</v>
      </c>
      <c r="J2" s="11">
        <v>29760</v>
      </c>
    </row>
    <row r="3" spans="1:10" x14ac:dyDescent="0.2">
      <c r="A3" s="8">
        <f t="shared" ref="A3:A66" si="0">F3+7-WEEKDAY(F3)</f>
        <v>45220</v>
      </c>
      <c r="B3" s="7" t="str">
        <f t="shared" ref="B3:B66" si="1">CONCATENATE(E3," ",H3)</f>
        <v>2 WEB AUTHORIZED PMT KRYPTONIX</v>
      </c>
      <c r="C3" s="7" t="str">
        <f t="array" ref="C3">IFERROR(INDEX(Mapping!$B$2:$B$22,MATCH('Bank Statement Export'!B3,Mapping!$A$2:$A$22,0)),INDEX(Table3[Category],MATCH(TRUE,ISNUMBER(SEARCH(Table3[Unique ID Contains],B3)),0)))</f>
        <v>Dues &amp; Subscriptions</v>
      </c>
      <c r="D3" s="7" t="str">
        <f>INDEX('Forecast 1'!$B$9:$B$56,MATCH('Bank Statement Export'!C3,'Forecast 1'!$B$9:$B$56,0))</f>
        <v>Dues &amp; Subscriptions</v>
      </c>
      <c r="E3" s="14">
        <v>2</v>
      </c>
      <c r="F3" s="10">
        <v>45215</v>
      </c>
      <c r="G3" s="9" t="s">
        <v>14</v>
      </c>
      <c r="H3" s="9" t="s">
        <v>15</v>
      </c>
      <c r="I3" s="11">
        <v>-230</v>
      </c>
      <c r="J3" s="11">
        <v>29530</v>
      </c>
    </row>
    <row r="4" spans="1:10" x14ac:dyDescent="0.2">
      <c r="A4" s="8">
        <f t="shared" si="0"/>
        <v>45220</v>
      </c>
      <c r="B4" s="7" t="str">
        <f t="shared" si="1"/>
        <v>3 CHECK</v>
      </c>
      <c r="C4" s="7" t="str">
        <f t="array" ref="C4">IFERROR(INDEX(Mapping!$B$2:$B$22,MATCH('Bank Statement Export'!B4,Mapping!$A$2:$A$22,0)),INDEX(Table3[Category],MATCH(TRUE,ISNUMBER(SEARCH(Table3[Unique ID Contains],B4)),0)))</f>
        <v>Payroll</v>
      </c>
      <c r="D4" s="7" t="str">
        <f>INDEX('Forecast 1'!$B$9:$B$56,MATCH('Bank Statement Export'!C4,'Forecast 1'!$B$9:$B$56,0))</f>
        <v>Payroll</v>
      </c>
      <c r="E4" s="14">
        <v>3</v>
      </c>
      <c r="F4" s="10">
        <v>45215</v>
      </c>
      <c r="G4" s="9">
        <v>79613</v>
      </c>
      <c r="H4" s="9" t="s">
        <v>16</v>
      </c>
      <c r="I4" s="11">
        <v>-2000</v>
      </c>
      <c r="J4" s="11">
        <v>27530</v>
      </c>
    </row>
    <row r="5" spans="1:10" x14ac:dyDescent="0.2">
      <c r="A5" s="8">
        <f t="shared" si="0"/>
        <v>45220</v>
      </c>
      <c r="B5" s="7" t="str">
        <f t="shared" si="1"/>
        <v>4 CHECK</v>
      </c>
      <c r="C5" s="7" t="str">
        <f t="array" ref="C5">IFERROR(INDEX(Mapping!$B$2:$B$22,MATCH('Bank Statement Export'!B5,Mapping!$A$2:$A$22,0)),INDEX(Table3[Category],MATCH(TRUE,ISNUMBER(SEARCH(Table3[Unique ID Contains],B5)),0)))</f>
        <v>Payroll</v>
      </c>
      <c r="D5" s="7" t="str">
        <f>INDEX('Forecast 1'!$B$9:$B$56,MATCH('Bank Statement Export'!C5,'Forecast 1'!$B$9:$B$56,0))</f>
        <v>Payroll</v>
      </c>
      <c r="E5" s="14">
        <v>4</v>
      </c>
      <c r="F5" s="10">
        <v>45215</v>
      </c>
      <c r="G5" s="9">
        <v>79671</v>
      </c>
      <c r="H5" s="9" t="s">
        <v>16</v>
      </c>
      <c r="I5" s="11">
        <v>-1270</v>
      </c>
      <c r="J5" s="11">
        <v>26260</v>
      </c>
    </row>
    <row r="6" spans="1:10" x14ac:dyDescent="0.2">
      <c r="A6" s="8">
        <f t="shared" si="0"/>
        <v>45220</v>
      </c>
      <c r="B6" s="7" t="str">
        <f t="shared" si="1"/>
        <v>5 CHECK</v>
      </c>
      <c r="C6" s="7" t="str">
        <f t="array" ref="C6">IFERROR(INDEX(Mapping!$B$2:$B$22,MATCH('Bank Statement Export'!B6,Mapping!$A$2:$A$22,0)),INDEX(Table3[Category],MATCH(TRUE,ISNUMBER(SEARCH(Table3[Unique ID Contains],B6)),0)))</f>
        <v>Accounts Payable</v>
      </c>
      <c r="D6" s="7" t="str">
        <f>INDEX('Forecast 1'!$B$9:$B$56,MATCH('Bank Statement Export'!C6,'Forecast 1'!$B$9:$B$56,0))</f>
        <v>Accounts Payable</v>
      </c>
      <c r="E6" s="14">
        <v>5</v>
      </c>
      <c r="F6" s="10">
        <v>45215</v>
      </c>
      <c r="G6" s="9">
        <v>79673</v>
      </c>
      <c r="H6" s="9" t="s">
        <v>16</v>
      </c>
      <c r="I6" s="11">
        <v>-6570</v>
      </c>
      <c r="J6" s="11">
        <v>19690</v>
      </c>
    </row>
    <row r="7" spans="1:10" x14ac:dyDescent="0.2">
      <c r="A7" s="8">
        <f t="shared" si="0"/>
        <v>45220</v>
      </c>
      <c r="B7" s="7" t="str">
        <f t="shared" si="1"/>
        <v>6 DEPOSIT</v>
      </c>
      <c r="C7" s="7" t="str">
        <f t="array" ref="C7">IFERROR(INDEX(Mapping!$B$2:$B$22,MATCH('Bank Statement Export'!B7,Mapping!$A$2:$A$22,0)),INDEX(Table3[Category],MATCH(TRUE,ISNUMBER(SEARCH(Table3[Unique ID Contains],B7)),0)))</f>
        <v xml:space="preserve">  Invoice Revenue Receipts</v>
      </c>
      <c r="D7" s="7" t="str">
        <f>INDEX('Forecast 1'!$B$9:$B$56,MATCH('Bank Statement Export'!C7,'Forecast 1'!$B$9:$B$56,0))</f>
        <v xml:space="preserve">  Invoice Revenue Receipts</v>
      </c>
      <c r="E7" s="14">
        <v>6</v>
      </c>
      <c r="F7" s="10">
        <v>45216</v>
      </c>
      <c r="G7" s="9" t="s">
        <v>17</v>
      </c>
      <c r="H7" s="9" t="s">
        <v>18</v>
      </c>
      <c r="I7" s="11">
        <v>3270</v>
      </c>
      <c r="J7" s="11">
        <v>22960</v>
      </c>
    </row>
    <row r="8" spans="1:10" x14ac:dyDescent="0.2">
      <c r="A8" s="8">
        <f t="shared" si="0"/>
        <v>45220</v>
      </c>
      <c r="B8" s="7" t="str">
        <f t="shared" si="1"/>
        <v>7 ELECTRONIC WITHDRAWAL GLOWTECH</v>
      </c>
      <c r="C8" s="7" t="str">
        <f t="array" ref="C8">IFERROR(INDEX(Mapping!$B$2:$B$22,MATCH('Bank Statement Export'!B8,Mapping!$A$2:$A$22,0)),INDEX(Table3[Category],MATCH(TRUE,ISNUMBER(SEARCH(Table3[Unique ID Contains],B8)),0)))</f>
        <v>Technology</v>
      </c>
      <c r="D8" s="7" t="str">
        <f>INDEX('Forecast 1'!$B$9:$B$56,MATCH('Bank Statement Export'!C8,'Forecast 1'!$B$9:$B$56,0))</f>
        <v>Technology</v>
      </c>
      <c r="E8" s="14">
        <v>7</v>
      </c>
      <c r="F8" s="10">
        <v>45216</v>
      </c>
      <c r="G8" s="9" t="s">
        <v>14</v>
      </c>
      <c r="H8" s="9" t="s">
        <v>19</v>
      </c>
      <c r="I8" s="11">
        <v>-1030</v>
      </c>
      <c r="J8" s="11">
        <v>21930</v>
      </c>
    </row>
    <row r="9" spans="1:10" x14ac:dyDescent="0.2">
      <c r="A9" s="8">
        <f t="shared" si="0"/>
        <v>45220</v>
      </c>
      <c r="B9" s="7" t="str">
        <f t="shared" si="1"/>
        <v>8 CHECK</v>
      </c>
      <c r="C9" s="7" t="str">
        <f t="array" ref="C9">IFERROR(INDEX(Mapping!$B$2:$B$22,MATCH('Bank Statement Export'!B9,Mapping!$A$2:$A$22,0)),INDEX(Table3[Category],MATCH(TRUE,ISNUMBER(SEARCH(Table3[Unique ID Contains],B9)),0)))</f>
        <v>Payroll</v>
      </c>
      <c r="D9" s="7" t="str">
        <f>INDEX('Forecast 1'!$B$9:$B$56,MATCH('Bank Statement Export'!C9,'Forecast 1'!$B$9:$B$56,0))</f>
        <v>Payroll</v>
      </c>
      <c r="E9" s="14">
        <v>8</v>
      </c>
      <c r="F9" s="10">
        <v>45216</v>
      </c>
      <c r="G9" s="9">
        <v>79685</v>
      </c>
      <c r="H9" s="9" t="s">
        <v>16</v>
      </c>
      <c r="I9" s="11">
        <v>-1150</v>
      </c>
      <c r="J9" s="11">
        <v>20780</v>
      </c>
    </row>
    <row r="10" spans="1:10" x14ac:dyDescent="0.2">
      <c r="A10" s="8">
        <f t="shared" si="0"/>
        <v>45220</v>
      </c>
      <c r="B10" s="7" t="str">
        <f t="shared" si="1"/>
        <v>9 CHECK</v>
      </c>
      <c r="C10" s="7" t="str">
        <f t="array" ref="C10">IFERROR(INDEX(Mapping!$B$2:$B$22,MATCH('Bank Statement Export'!B10,Mapping!$A$2:$A$22,0)),INDEX(Table3[Category],MATCH(TRUE,ISNUMBER(SEARCH(Table3[Unique ID Contains],B10)),0)))</f>
        <v>Payroll</v>
      </c>
      <c r="D10" s="7" t="str">
        <f>INDEX('Forecast 1'!$B$9:$B$56,MATCH('Bank Statement Export'!C10,'Forecast 1'!$B$9:$B$56,0))</f>
        <v>Payroll</v>
      </c>
      <c r="E10" s="14">
        <v>9</v>
      </c>
      <c r="F10" s="10">
        <v>45216</v>
      </c>
      <c r="G10" s="9">
        <v>79719</v>
      </c>
      <c r="H10" s="9" t="s">
        <v>16</v>
      </c>
      <c r="I10" s="11">
        <v>-100</v>
      </c>
      <c r="J10" s="11">
        <v>20680</v>
      </c>
    </row>
    <row r="11" spans="1:10" x14ac:dyDescent="0.2">
      <c r="A11" s="8">
        <f t="shared" si="0"/>
        <v>45220</v>
      </c>
      <c r="B11" s="7" t="str">
        <f t="shared" si="1"/>
        <v>10 DEPOSIT</v>
      </c>
      <c r="C11" s="7" t="str">
        <f t="array" ref="C11">IFERROR(INDEX(Mapping!$B$2:$B$22,MATCH('Bank Statement Export'!B11,Mapping!$A$2:$A$22,0)),INDEX(Table3[Category],MATCH(TRUE,ISNUMBER(SEARCH(Table3[Unique ID Contains],B11)),0)))</f>
        <v xml:space="preserve">  Invoice Revenue Receipts</v>
      </c>
      <c r="D11" s="7" t="str">
        <f>INDEX('Forecast 1'!$B$9:$B$56,MATCH('Bank Statement Export'!C11,'Forecast 1'!$B$9:$B$56,0))</f>
        <v xml:space="preserve">  Invoice Revenue Receipts</v>
      </c>
      <c r="E11" s="14">
        <v>10</v>
      </c>
      <c r="F11" s="10">
        <v>45217</v>
      </c>
      <c r="G11" s="9" t="s">
        <v>17</v>
      </c>
      <c r="H11" s="9" t="s">
        <v>18</v>
      </c>
      <c r="I11" s="11">
        <v>20000</v>
      </c>
      <c r="J11" s="11">
        <v>40680</v>
      </c>
    </row>
    <row r="12" spans="1:10" x14ac:dyDescent="0.2">
      <c r="A12" s="8">
        <f t="shared" si="0"/>
        <v>45220</v>
      </c>
      <c r="B12" s="7" t="str">
        <f t="shared" si="1"/>
        <v>11 DEPOSIT</v>
      </c>
      <c r="C12" s="7" t="str">
        <f t="array" ref="C12">IFERROR(INDEX(Mapping!$B$2:$B$22,MATCH('Bank Statement Export'!B12,Mapping!$A$2:$A$22,0)),INDEX(Table3[Category],MATCH(TRUE,ISNUMBER(SEARCH(Table3[Unique ID Contains],B12)),0)))</f>
        <v xml:space="preserve">  Invoice Revenue Receipts</v>
      </c>
      <c r="D12" s="7" t="str">
        <f>INDEX('Forecast 1'!$B$9:$B$56,MATCH('Bank Statement Export'!C12,'Forecast 1'!$B$9:$B$56,0))</f>
        <v xml:space="preserve">  Invoice Revenue Receipts</v>
      </c>
      <c r="E12" s="14">
        <v>11</v>
      </c>
      <c r="F12" s="10">
        <v>45217</v>
      </c>
      <c r="G12" s="9" t="s">
        <v>17</v>
      </c>
      <c r="H12" s="9" t="s">
        <v>18</v>
      </c>
      <c r="I12" s="11">
        <v>12180</v>
      </c>
      <c r="J12" s="11">
        <v>52860</v>
      </c>
    </row>
    <row r="13" spans="1:10" x14ac:dyDescent="0.2">
      <c r="A13" s="8">
        <f t="shared" si="0"/>
        <v>45220</v>
      </c>
      <c r="B13" s="7" t="str">
        <f t="shared" si="1"/>
        <v>12 DEPOSIT</v>
      </c>
      <c r="C13" s="7" t="str">
        <f t="array" ref="C13">IFERROR(INDEX(Mapping!$B$2:$B$22,MATCH('Bank Statement Export'!B13,Mapping!$A$2:$A$22,0)),INDEX(Table3[Category],MATCH(TRUE,ISNUMBER(SEARCH(Table3[Unique ID Contains],B13)),0)))</f>
        <v xml:space="preserve">  Invoice Revenue Receipts</v>
      </c>
      <c r="D13" s="7" t="str">
        <f>INDEX('Forecast 1'!$B$9:$B$56,MATCH('Bank Statement Export'!C13,'Forecast 1'!$B$9:$B$56,0))</f>
        <v xml:space="preserve">  Invoice Revenue Receipts</v>
      </c>
      <c r="E13" s="14">
        <v>12</v>
      </c>
      <c r="F13" s="10">
        <v>45217</v>
      </c>
      <c r="G13" s="9" t="s">
        <v>17</v>
      </c>
      <c r="H13" s="9" t="s">
        <v>18</v>
      </c>
      <c r="I13" s="11">
        <v>7780</v>
      </c>
      <c r="J13" s="11">
        <v>60640</v>
      </c>
    </row>
    <row r="14" spans="1:10" x14ac:dyDescent="0.2">
      <c r="A14" s="8">
        <f t="shared" si="0"/>
        <v>45220</v>
      </c>
      <c r="B14" s="7" t="str">
        <f t="shared" si="1"/>
        <v>13 ELECTRONIC WITHDRAWAL STATE DEPT REVENUE</v>
      </c>
      <c r="C14" s="7" t="str">
        <f t="array" ref="C14">IFERROR(INDEX(Mapping!$B$2:$B$22,MATCH('Bank Statement Export'!B14,Mapping!$A$2:$A$22,0)),INDEX(Table3[Category],MATCH(TRUE,ISNUMBER(SEARCH(Table3[Unique ID Contains],B14)),0)))</f>
        <v>Tax Distributions</v>
      </c>
      <c r="D14" s="7" t="str">
        <f>INDEX('Forecast 1'!$B$9:$B$56,MATCH('Bank Statement Export'!C14,'Forecast 1'!$B$9:$B$56,0))</f>
        <v>Tax Distributions</v>
      </c>
      <c r="E14" s="14">
        <v>13</v>
      </c>
      <c r="F14" s="10">
        <v>45217</v>
      </c>
      <c r="G14" s="9" t="s">
        <v>14</v>
      </c>
      <c r="H14" s="9" t="s">
        <v>20</v>
      </c>
      <c r="I14" s="11">
        <v>-3230</v>
      </c>
      <c r="J14" s="11">
        <v>57410</v>
      </c>
    </row>
    <row r="15" spans="1:10" x14ac:dyDescent="0.2">
      <c r="A15" s="8">
        <f t="shared" si="0"/>
        <v>45220</v>
      </c>
      <c r="B15" s="7" t="str">
        <f t="shared" si="1"/>
        <v>14 ELECTRONIC WITHDRAWAL IRS</v>
      </c>
      <c r="C15" s="7" t="str">
        <f t="array" ref="C15">IFERROR(INDEX(Mapping!$B$2:$B$22,MATCH('Bank Statement Export'!B15,Mapping!$A$2:$A$22,0)),INDEX(Table3[Category],MATCH(TRUE,ISNUMBER(SEARCH(Table3[Unique ID Contains],B15)),0)))</f>
        <v>Tax Distributions</v>
      </c>
      <c r="D15" s="7" t="str">
        <f>INDEX('Forecast 1'!$B$9:$B$56,MATCH('Bank Statement Export'!C15,'Forecast 1'!$B$9:$B$56,0))</f>
        <v>Tax Distributions</v>
      </c>
      <c r="E15" s="14">
        <v>14</v>
      </c>
      <c r="F15" s="10">
        <v>45217</v>
      </c>
      <c r="G15" s="9" t="s">
        <v>14</v>
      </c>
      <c r="H15" s="9" t="s">
        <v>21</v>
      </c>
      <c r="I15" s="11">
        <v>-16370</v>
      </c>
      <c r="J15" s="11">
        <v>41040</v>
      </c>
    </row>
    <row r="16" spans="1:10" x14ac:dyDescent="0.2">
      <c r="A16" s="8">
        <f t="shared" si="0"/>
        <v>45220</v>
      </c>
      <c r="B16" s="7" t="str">
        <f t="shared" si="1"/>
        <v>15 CHECK</v>
      </c>
      <c r="C16" s="7" t="str">
        <f t="array" ref="C16">IFERROR(INDEX(Mapping!$B$2:$B$22,MATCH('Bank Statement Export'!B16,Mapping!$A$2:$A$22,0)),INDEX(Table3[Category],MATCH(TRUE,ISNUMBER(SEARCH(Table3[Unique ID Contains],B16)),0)))</f>
        <v>Accounts Payable</v>
      </c>
      <c r="D16" s="7" t="str">
        <f>INDEX('Forecast 1'!$B$9:$B$56,MATCH('Bank Statement Export'!C16,'Forecast 1'!$B$9:$B$56,0))</f>
        <v>Accounts Payable</v>
      </c>
      <c r="E16" s="14">
        <v>15</v>
      </c>
      <c r="F16" s="10">
        <v>45217</v>
      </c>
      <c r="G16" s="9">
        <v>79665</v>
      </c>
      <c r="H16" s="9" t="s">
        <v>16</v>
      </c>
      <c r="I16" s="11">
        <v>-11630</v>
      </c>
      <c r="J16" s="11">
        <v>29410</v>
      </c>
    </row>
    <row r="17" spans="1:10" x14ac:dyDescent="0.2">
      <c r="A17" s="8">
        <f t="shared" si="0"/>
        <v>45220</v>
      </c>
      <c r="B17" s="7" t="str">
        <f t="shared" si="1"/>
        <v>16 DEPOSIT</v>
      </c>
      <c r="C17" s="7" t="str">
        <f t="array" ref="C17">IFERROR(INDEX(Mapping!$B$2:$B$22,MATCH('Bank Statement Export'!B17,Mapping!$A$2:$A$22,0)),INDEX(Table3[Category],MATCH(TRUE,ISNUMBER(SEARCH(Table3[Unique ID Contains],B17)),0)))</f>
        <v xml:space="preserve">  Invoice Revenue Receipts</v>
      </c>
      <c r="D17" s="7" t="str">
        <f>INDEX('Forecast 1'!$B$9:$B$56,MATCH('Bank Statement Export'!C17,'Forecast 1'!$B$9:$B$56,0))</f>
        <v xml:space="preserve">  Invoice Revenue Receipts</v>
      </c>
      <c r="E17" s="14">
        <v>16</v>
      </c>
      <c r="F17" s="10">
        <v>45218</v>
      </c>
      <c r="G17" s="9" t="s">
        <v>17</v>
      </c>
      <c r="H17" s="9" t="s">
        <v>18</v>
      </c>
      <c r="I17" s="11">
        <v>475690</v>
      </c>
      <c r="J17" s="11">
        <v>505100</v>
      </c>
    </row>
    <row r="18" spans="1:10" x14ac:dyDescent="0.2">
      <c r="A18" s="8">
        <f t="shared" si="0"/>
        <v>45220</v>
      </c>
      <c r="B18" s="7" t="str">
        <f t="shared" si="1"/>
        <v>17 ELECTRONIC WITHDRAWAL PAYROLL</v>
      </c>
      <c r="C18" s="7" t="str">
        <f t="array" ref="C18">IFERROR(INDEX(Mapping!$B$2:$B$22,MATCH('Bank Statement Export'!B18,Mapping!$A$2:$A$22,0)),INDEX(Table3[Category],MATCH(TRUE,ISNUMBER(SEARCH(Table3[Unique ID Contains],B18)),0)))</f>
        <v>Payroll</v>
      </c>
      <c r="D18" s="7" t="str">
        <f>INDEX('Forecast 1'!$B$9:$B$56,MATCH('Bank Statement Export'!C18,'Forecast 1'!$B$9:$B$56,0))</f>
        <v>Payroll</v>
      </c>
      <c r="E18" s="14">
        <v>17</v>
      </c>
      <c r="F18" s="10">
        <v>45218</v>
      </c>
      <c r="G18" s="9" t="s">
        <v>14</v>
      </c>
      <c r="H18" s="9" t="s">
        <v>22</v>
      </c>
      <c r="I18" s="11">
        <v>-21670</v>
      </c>
      <c r="J18" s="11">
        <v>483430</v>
      </c>
    </row>
    <row r="19" spans="1:10" x14ac:dyDescent="0.2">
      <c r="A19" s="8">
        <f t="shared" si="0"/>
        <v>45220</v>
      </c>
      <c r="B19" s="7" t="str">
        <f t="shared" si="1"/>
        <v>18 CHECK</v>
      </c>
      <c r="C19" s="7" t="str">
        <f t="array" ref="C19">IFERROR(INDEX(Mapping!$B$2:$B$22,MATCH('Bank Statement Export'!B19,Mapping!$A$2:$A$22,0)),INDEX(Table3[Category],MATCH(TRUE,ISNUMBER(SEARCH(Table3[Unique ID Contains],B19)),0)))</f>
        <v>Accounts Payable</v>
      </c>
      <c r="D19" s="7" t="str">
        <f>INDEX('Forecast 1'!$B$9:$B$56,MATCH('Bank Statement Export'!C19,'Forecast 1'!$B$9:$B$56,0))</f>
        <v>Accounts Payable</v>
      </c>
      <c r="E19" s="14">
        <v>18</v>
      </c>
      <c r="F19" s="10">
        <v>45218</v>
      </c>
      <c r="G19" s="9">
        <v>79764</v>
      </c>
      <c r="H19" s="9" t="s">
        <v>16</v>
      </c>
      <c r="I19" s="11">
        <v>-94000</v>
      </c>
      <c r="J19" s="11">
        <v>389430</v>
      </c>
    </row>
    <row r="20" spans="1:10" x14ac:dyDescent="0.2">
      <c r="A20" s="8">
        <f t="shared" si="0"/>
        <v>45220</v>
      </c>
      <c r="B20" s="7" t="str">
        <f t="shared" si="1"/>
        <v>19 DEPOSIT</v>
      </c>
      <c r="C20" s="7" t="str">
        <f t="array" ref="C20">IFERROR(INDEX(Mapping!$B$2:$B$22,MATCH('Bank Statement Export'!B20,Mapping!$A$2:$A$22,0)),INDEX(Table3[Category],MATCH(TRUE,ISNUMBER(SEARCH(Table3[Unique ID Contains],B20)),0)))</f>
        <v xml:space="preserve">  Invoice Revenue Receipts</v>
      </c>
      <c r="D20" s="7" t="str">
        <f>INDEX('Forecast 1'!$B$9:$B$56,MATCH('Bank Statement Export'!C20,'Forecast 1'!$B$9:$B$56,0))</f>
        <v xml:space="preserve">  Invoice Revenue Receipts</v>
      </c>
      <c r="E20" s="14">
        <v>19</v>
      </c>
      <c r="F20" s="10">
        <v>45219</v>
      </c>
      <c r="G20" s="9" t="s">
        <v>17</v>
      </c>
      <c r="H20" s="9" t="s">
        <v>18</v>
      </c>
      <c r="I20" s="11">
        <v>1650</v>
      </c>
      <c r="J20" s="11">
        <v>391080</v>
      </c>
    </row>
    <row r="21" spans="1:10" x14ac:dyDescent="0.2">
      <c r="A21" s="8">
        <f t="shared" si="0"/>
        <v>45220</v>
      </c>
      <c r="B21" s="7" t="str">
        <f t="shared" si="1"/>
        <v>20 ELECTRONIC WITHDRAWAL FRACTALIX</v>
      </c>
      <c r="C21" s="7" t="str">
        <f t="array" ref="C21">IFERROR(INDEX(Mapping!$B$2:$B$22,MATCH('Bank Statement Export'!B21,Mapping!$A$2:$A$22,0)),INDEX(Table3[Category],MATCH(TRUE,ISNUMBER(SEARCH(Table3[Unique ID Contains],B21)),0)))</f>
        <v>Lease Payments</v>
      </c>
      <c r="D21" s="7" t="str">
        <f>INDEX('Forecast 1'!$B$9:$B$56,MATCH('Bank Statement Export'!C21,'Forecast 1'!$B$9:$B$56,0))</f>
        <v>Lease Payments</v>
      </c>
      <c r="E21" s="14">
        <v>20</v>
      </c>
      <c r="F21" s="10">
        <v>45219</v>
      </c>
      <c r="G21" s="9" t="s">
        <v>14</v>
      </c>
      <c r="H21" s="9" t="s">
        <v>23</v>
      </c>
      <c r="I21" s="11">
        <v>-1350</v>
      </c>
      <c r="J21" s="11">
        <v>389730</v>
      </c>
    </row>
    <row r="22" spans="1:10" x14ac:dyDescent="0.2">
      <c r="A22" s="8">
        <f t="shared" si="0"/>
        <v>45220</v>
      </c>
      <c r="B22" s="7" t="str">
        <f t="shared" si="1"/>
        <v>21 CHECK</v>
      </c>
      <c r="C22" s="7" t="str">
        <f t="array" ref="C22">IFERROR(INDEX(Mapping!$B$2:$B$22,MATCH('Bank Statement Export'!B22,Mapping!$A$2:$A$22,0)),INDEX(Table3[Category],MATCH(TRUE,ISNUMBER(SEARCH(Table3[Unique ID Contains],B22)),0)))</f>
        <v>Payroll</v>
      </c>
      <c r="D22" s="7" t="str">
        <f>INDEX('Forecast 1'!$B$9:$B$56,MATCH('Bank Statement Export'!C22,'Forecast 1'!$B$9:$B$56,0))</f>
        <v>Payroll</v>
      </c>
      <c r="E22" s="14">
        <v>21</v>
      </c>
      <c r="F22" s="10">
        <v>45219</v>
      </c>
      <c r="G22" s="9">
        <v>79722</v>
      </c>
      <c r="H22" s="9" t="s">
        <v>16</v>
      </c>
      <c r="I22" s="11">
        <v>-1110</v>
      </c>
      <c r="J22" s="11">
        <v>388620</v>
      </c>
    </row>
    <row r="23" spans="1:10" x14ac:dyDescent="0.2">
      <c r="A23" s="8">
        <f t="shared" si="0"/>
        <v>45220</v>
      </c>
      <c r="B23" s="7" t="str">
        <f t="shared" si="1"/>
        <v>22 CHECK</v>
      </c>
      <c r="C23" s="7" t="str">
        <f t="array" ref="C23">IFERROR(INDEX(Mapping!$B$2:$B$22,MATCH('Bank Statement Export'!B23,Mapping!$A$2:$A$22,0)),INDEX(Table3[Category],MATCH(TRUE,ISNUMBER(SEARCH(Table3[Unique ID Contains],B23)),0)))</f>
        <v>Payroll</v>
      </c>
      <c r="D23" s="7" t="str">
        <f>INDEX('Forecast 1'!$B$9:$B$56,MATCH('Bank Statement Export'!C23,'Forecast 1'!$B$9:$B$56,0))</f>
        <v>Payroll</v>
      </c>
      <c r="E23" s="14">
        <v>22</v>
      </c>
      <c r="F23" s="10">
        <v>45219</v>
      </c>
      <c r="G23" s="9">
        <v>79723</v>
      </c>
      <c r="H23" s="9" t="s">
        <v>16</v>
      </c>
      <c r="I23" s="11">
        <v>-760</v>
      </c>
      <c r="J23" s="11">
        <v>387860</v>
      </c>
    </row>
    <row r="24" spans="1:10" x14ac:dyDescent="0.2">
      <c r="A24" s="8">
        <f t="shared" si="0"/>
        <v>45220</v>
      </c>
      <c r="B24" s="7" t="str">
        <f t="shared" si="1"/>
        <v>23 CHECK</v>
      </c>
      <c r="C24" s="7" t="str">
        <f t="array" ref="C24">IFERROR(INDEX(Mapping!$B$2:$B$22,MATCH('Bank Statement Export'!B24,Mapping!$A$2:$A$22,0)),INDEX(Table3[Category],MATCH(TRUE,ISNUMBER(SEARCH(Table3[Unique ID Contains],B24)),0)))</f>
        <v>Payroll</v>
      </c>
      <c r="D24" s="7" t="str">
        <f>INDEX('Forecast 1'!$B$9:$B$56,MATCH('Bank Statement Export'!C24,'Forecast 1'!$B$9:$B$56,0))</f>
        <v>Payroll</v>
      </c>
      <c r="E24" s="14">
        <v>23</v>
      </c>
      <c r="F24" s="10">
        <v>45219</v>
      </c>
      <c r="G24" s="9">
        <v>79724</v>
      </c>
      <c r="H24" s="9" t="s">
        <v>16</v>
      </c>
      <c r="I24" s="11">
        <v>-720</v>
      </c>
      <c r="J24" s="11">
        <v>387140</v>
      </c>
    </row>
    <row r="25" spans="1:10" x14ac:dyDescent="0.2">
      <c r="A25" s="8">
        <f t="shared" si="0"/>
        <v>45220</v>
      </c>
      <c r="B25" s="7" t="str">
        <f t="shared" si="1"/>
        <v>24 CHECK</v>
      </c>
      <c r="C25" s="7" t="str">
        <f t="array" ref="C25">IFERROR(INDEX(Mapping!$B$2:$B$22,MATCH('Bank Statement Export'!B25,Mapping!$A$2:$A$22,0)),INDEX(Table3[Category],MATCH(TRUE,ISNUMBER(SEARCH(Table3[Unique ID Contains],B25)),0)))</f>
        <v>Payroll</v>
      </c>
      <c r="D25" s="7" t="str">
        <f>INDEX('Forecast 1'!$B$9:$B$56,MATCH('Bank Statement Export'!C25,'Forecast 1'!$B$9:$B$56,0))</f>
        <v>Payroll</v>
      </c>
      <c r="E25" s="14">
        <v>24</v>
      </c>
      <c r="F25" s="10">
        <v>45219</v>
      </c>
      <c r="G25" s="9">
        <v>79726</v>
      </c>
      <c r="H25" s="9" t="s">
        <v>16</v>
      </c>
      <c r="I25" s="11">
        <v>-1880</v>
      </c>
      <c r="J25" s="11">
        <v>385260</v>
      </c>
    </row>
    <row r="26" spans="1:10" x14ac:dyDescent="0.2">
      <c r="A26" s="8">
        <f t="shared" si="0"/>
        <v>45220</v>
      </c>
      <c r="B26" s="7" t="str">
        <f t="shared" si="1"/>
        <v>25 CHECK</v>
      </c>
      <c r="C26" s="7" t="str">
        <f t="array" ref="C26">IFERROR(INDEX(Mapping!$B$2:$B$22,MATCH('Bank Statement Export'!B26,Mapping!$A$2:$A$22,0)),INDEX(Table3[Category],MATCH(TRUE,ISNUMBER(SEARCH(Table3[Unique ID Contains],B26)),0)))</f>
        <v>Payroll</v>
      </c>
      <c r="D26" s="7" t="str">
        <f>INDEX('Forecast 1'!$B$9:$B$56,MATCH('Bank Statement Export'!C26,'Forecast 1'!$B$9:$B$56,0))</f>
        <v>Payroll</v>
      </c>
      <c r="E26" s="14">
        <v>25</v>
      </c>
      <c r="F26" s="10">
        <v>45219</v>
      </c>
      <c r="G26" s="9">
        <v>79727</v>
      </c>
      <c r="H26" s="9" t="s">
        <v>16</v>
      </c>
      <c r="I26" s="11">
        <v>-1130</v>
      </c>
      <c r="J26" s="11">
        <v>384130</v>
      </c>
    </row>
    <row r="27" spans="1:10" x14ac:dyDescent="0.2">
      <c r="A27" s="8">
        <f t="shared" si="0"/>
        <v>45220</v>
      </c>
      <c r="B27" s="7" t="str">
        <f t="shared" si="1"/>
        <v>26 CHECK</v>
      </c>
      <c r="C27" s="7" t="str">
        <f t="array" ref="C27">IFERROR(INDEX(Mapping!$B$2:$B$22,MATCH('Bank Statement Export'!B27,Mapping!$A$2:$A$22,0)),INDEX(Table3[Category],MATCH(TRUE,ISNUMBER(SEARCH(Table3[Unique ID Contains],B27)),0)))</f>
        <v>Payroll</v>
      </c>
      <c r="D27" s="7" t="str">
        <f>INDEX('Forecast 1'!$B$9:$B$56,MATCH('Bank Statement Export'!C27,'Forecast 1'!$B$9:$B$56,0))</f>
        <v>Payroll</v>
      </c>
      <c r="E27" s="14">
        <v>26</v>
      </c>
      <c r="F27" s="10">
        <v>45219</v>
      </c>
      <c r="G27" s="9">
        <v>79728</v>
      </c>
      <c r="H27" s="9" t="s">
        <v>16</v>
      </c>
      <c r="I27" s="11">
        <v>-1260</v>
      </c>
      <c r="J27" s="11">
        <v>382870</v>
      </c>
    </row>
    <row r="28" spans="1:10" x14ac:dyDescent="0.2">
      <c r="A28" s="8">
        <f t="shared" si="0"/>
        <v>45220</v>
      </c>
      <c r="B28" s="7" t="str">
        <f t="shared" si="1"/>
        <v>27 CHECK</v>
      </c>
      <c r="C28" s="7" t="str">
        <f t="array" ref="C28">IFERROR(INDEX(Mapping!$B$2:$B$22,MATCH('Bank Statement Export'!B28,Mapping!$A$2:$A$22,0)),INDEX(Table3[Category],MATCH(TRUE,ISNUMBER(SEARCH(Table3[Unique ID Contains],B28)),0)))</f>
        <v>Payroll</v>
      </c>
      <c r="D28" s="7" t="str">
        <f>INDEX('Forecast 1'!$B$9:$B$56,MATCH('Bank Statement Export'!C28,'Forecast 1'!$B$9:$B$56,0))</f>
        <v>Payroll</v>
      </c>
      <c r="E28" s="14">
        <v>27</v>
      </c>
      <c r="F28" s="10">
        <v>45219</v>
      </c>
      <c r="G28" s="9">
        <v>79729</v>
      </c>
      <c r="H28" s="9" t="s">
        <v>16</v>
      </c>
      <c r="I28" s="11">
        <v>-1160</v>
      </c>
      <c r="J28" s="11">
        <v>381710</v>
      </c>
    </row>
    <row r="29" spans="1:10" x14ac:dyDescent="0.2">
      <c r="A29" s="8">
        <f t="shared" si="0"/>
        <v>45220</v>
      </c>
      <c r="B29" s="7" t="str">
        <f t="shared" si="1"/>
        <v>28 CHECK</v>
      </c>
      <c r="C29" s="7" t="str">
        <f t="array" ref="C29">IFERROR(INDEX(Mapping!$B$2:$B$22,MATCH('Bank Statement Export'!B29,Mapping!$A$2:$A$22,0)),INDEX(Table3[Category],MATCH(TRUE,ISNUMBER(SEARCH(Table3[Unique ID Contains],B29)),0)))</f>
        <v>Payroll</v>
      </c>
      <c r="D29" s="7" t="str">
        <f>INDEX('Forecast 1'!$B$9:$B$56,MATCH('Bank Statement Export'!C29,'Forecast 1'!$B$9:$B$56,0))</f>
        <v>Payroll</v>
      </c>
      <c r="E29" s="14">
        <v>28</v>
      </c>
      <c r="F29" s="10">
        <v>45219</v>
      </c>
      <c r="G29" s="9">
        <v>79730</v>
      </c>
      <c r="H29" s="9" t="s">
        <v>16</v>
      </c>
      <c r="I29" s="11">
        <v>-1280</v>
      </c>
      <c r="J29" s="11">
        <v>380430</v>
      </c>
    </row>
    <row r="30" spans="1:10" x14ac:dyDescent="0.2">
      <c r="A30" s="8">
        <f t="shared" si="0"/>
        <v>45220</v>
      </c>
      <c r="B30" s="7" t="str">
        <f t="shared" si="1"/>
        <v>29 CHECK</v>
      </c>
      <c r="C30" s="7" t="str">
        <f t="array" ref="C30">IFERROR(INDEX(Mapping!$B$2:$B$22,MATCH('Bank Statement Export'!B30,Mapping!$A$2:$A$22,0)),INDEX(Table3[Category],MATCH(TRUE,ISNUMBER(SEARCH(Table3[Unique ID Contains],B30)),0)))</f>
        <v>Payroll</v>
      </c>
      <c r="D30" s="7" t="str">
        <f>INDEX('Forecast 1'!$B$9:$B$56,MATCH('Bank Statement Export'!C30,'Forecast 1'!$B$9:$B$56,0))</f>
        <v>Payroll</v>
      </c>
      <c r="E30" s="14">
        <v>29</v>
      </c>
      <c r="F30" s="10">
        <v>45219</v>
      </c>
      <c r="G30" s="9">
        <v>79731</v>
      </c>
      <c r="H30" s="9" t="s">
        <v>16</v>
      </c>
      <c r="I30" s="11">
        <v>-1180</v>
      </c>
      <c r="J30" s="11">
        <v>379250</v>
      </c>
    </row>
    <row r="31" spans="1:10" x14ac:dyDescent="0.2">
      <c r="A31" s="8">
        <f t="shared" si="0"/>
        <v>45220</v>
      </c>
      <c r="B31" s="7" t="str">
        <f t="shared" si="1"/>
        <v>30 CHECK</v>
      </c>
      <c r="C31" s="7" t="str">
        <f t="array" ref="C31">IFERROR(INDEX(Mapping!$B$2:$B$22,MATCH('Bank Statement Export'!B31,Mapping!$A$2:$A$22,0)),INDEX(Table3[Category],MATCH(TRUE,ISNUMBER(SEARCH(Table3[Unique ID Contains],B31)),0)))</f>
        <v>Payroll</v>
      </c>
      <c r="D31" s="7" t="str">
        <f>INDEX('Forecast 1'!$B$9:$B$56,MATCH('Bank Statement Export'!C31,'Forecast 1'!$B$9:$B$56,0))</f>
        <v>Payroll</v>
      </c>
      <c r="E31" s="14">
        <v>30</v>
      </c>
      <c r="F31" s="10">
        <v>45219</v>
      </c>
      <c r="G31" s="9">
        <v>79732</v>
      </c>
      <c r="H31" s="9" t="s">
        <v>16</v>
      </c>
      <c r="I31" s="11">
        <v>-1260</v>
      </c>
      <c r="J31" s="11">
        <v>377990</v>
      </c>
    </row>
    <row r="32" spans="1:10" x14ac:dyDescent="0.2">
      <c r="A32" s="8">
        <f t="shared" si="0"/>
        <v>45220</v>
      </c>
      <c r="B32" s="7" t="str">
        <f t="shared" si="1"/>
        <v>31 CHECK</v>
      </c>
      <c r="C32" s="7" t="str">
        <f t="array" ref="C32">IFERROR(INDEX(Mapping!$B$2:$B$22,MATCH('Bank Statement Export'!B32,Mapping!$A$2:$A$22,0)),INDEX(Table3[Category],MATCH(TRUE,ISNUMBER(SEARCH(Table3[Unique ID Contains],B32)),0)))</f>
        <v>Payroll</v>
      </c>
      <c r="D32" s="7" t="str">
        <f>INDEX('Forecast 1'!$B$9:$B$56,MATCH('Bank Statement Export'!C32,'Forecast 1'!$B$9:$B$56,0))</f>
        <v>Payroll</v>
      </c>
      <c r="E32" s="14">
        <v>31</v>
      </c>
      <c r="F32" s="10">
        <v>45219</v>
      </c>
      <c r="G32" s="9">
        <v>79734</v>
      </c>
      <c r="H32" s="9" t="s">
        <v>16</v>
      </c>
      <c r="I32" s="11">
        <v>-1310</v>
      </c>
      <c r="J32" s="11">
        <v>376680</v>
      </c>
    </row>
    <row r="33" spans="1:10" x14ac:dyDescent="0.2">
      <c r="A33" s="8">
        <f t="shared" si="0"/>
        <v>45220</v>
      </c>
      <c r="B33" s="7" t="str">
        <f t="shared" si="1"/>
        <v>32 CHECK</v>
      </c>
      <c r="C33" s="7" t="str">
        <f t="array" ref="C33">IFERROR(INDEX(Mapping!$B$2:$B$22,MATCH('Bank Statement Export'!B33,Mapping!$A$2:$A$22,0)),INDEX(Table3[Category],MATCH(TRUE,ISNUMBER(SEARCH(Table3[Unique ID Contains],B33)),0)))</f>
        <v>Payroll</v>
      </c>
      <c r="D33" s="7" t="str">
        <f>INDEX('Forecast 1'!$B$9:$B$56,MATCH('Bank Statement Export'!C33,'Forecast 1'!$B$9:$B$56,0))</f>
        <v>Payroll</v>
      </c>
      <c r="E33" s="14">
        <v>32</v>
      </c>
      <c r="F33" s="10">
        <v>45219</v>
      </c>
      <c r="G33" s="9">
        <v>79736</v>
      </c>
      <c r="H33" s="9" t="s">
        <v>16</v>
      </c>
      <c r="I33" s="11">
        <v>-1020</v>
      </c>
      <c r="J33" s="11">
        <v>375660</v>
      </c>
    </row>
    <row r="34" spans="1:10" x14ac:dyDescent="0.2">
      <c r="A34" s="8">
        <f t="shared" si="0"/>
        <v>45220</v>
      </c>
      <c r="B34" s="7" t="str">
        <f t="shared" si="1"/>
        <v>33 CHECK</v>
      </c>
      <c r="C34" s="7" t="str">
        <f t="array" ref="C34">IFERROR(INDEX(Mapping!$B$2:$B$22,MATCH('Bank Statement Export'!B34,Mapping!$A$2:$A$22,0)),INDEX(Table3[Category],MATCH(TRUE,ISNUMBER(SEARCH(Table3[Unique ID Contains],B34)),0)))</f>
        <v>Payroll</v>
      </c>
      <c r="D34" s="7" t="str">
        <f>INDEX('Forecast 1'!$B$9:$B$56,MATCH('Bank Statement Export'!C34,'Forecast 1'!$B$9:$B$56,0))</f>
        <v>Payroll</v>
      </c>
      <c r="E34" s="14">
        <v>33</v>
      </c>
      <c r="F34" s="10">
        <v>45219</v>
      </c>
      <c r="G34" s="9">
        <v>79738</v>
      </c>
      <c r="H34" s="9" t="s">
        <v>16</v>
      </c>
      <c r="I34" s="11">
        <v>-1280</v>
      </c>
      <c r="J34" s="11">
        <v>374380</v>
      </c>
    </row>
    <row r="35" spans="1:10" x14ac:dyDescent="0.2">
      <c r="A35" s="8">
        <f t="shared" si="0"/>
        <v>45220</v>
      </c>
      <c r="B35" s="7" t="str">
        <f t="shared" si="1"/>
        <v>34 CHECK</v>
      </c>
      <c r="C35" s="7" t="str">
        <f t="array" ref="C35">IFERROR(INDEX(Mapping!$B$2:$B$22,MATCH('Bank Statement Export'!B35,Mapping!$A$2:$A$22,0)),INDEX(Table3[Category],MATCH(TRUE,ISNUMBER(SEARCH(Table3[Unique ID Contains],B35)),0)))</f>
        <v>Payroll</v>
      </c>
      <c r="D35" s="7" t="str">
        <f>INDEX('Forecast 1'!$B$9:$B$56,MATCH('Bank Statement Export'!C35,'Forecast 1'!$B$9:$B$56,0))</f>
        <v>Payroll</v>
      </c>
      <c r="E35" s="14">
        <v>34</v>
      </c>
      <c r="F35" s="10">
        <v>45219</v>
      </c>
      <c r="G35" s="9">
        <v>79739</v>
      </c>
      <c r="H35" s="9" t="s">
        <v>16</v>
      </c>
      <c r="I35" s="11">
        <v>-1550</v>
      </c>
      <c r="J35" s="11">
        <v>372830</v>
      </c>
    </row>
    <row r="36" spans="1:10" x14ac:dyDescent="0.2">
      <c r="A36" s="8">
        <f t="shared" si="0"/>
        <v>45220</v>
      </c>
      <c r="B36" s="7" t="str">
        <f t="shared" si="1"/>
        <v>35 CHECK</v>
      </c>
      <c r="C36" s="7" t="str">
        <f t="array" ref="C36">IFERROR(INDEX(Mapping!$B$2:$B$22,MATCH('Bank Statement Export'!B36,Mapping!$A$2:$A$22,0)),INDEX(Table3[Category],MATCH(TRUE,ISNUMBER(SEARCH(Table3[Unique ID Contains],B36)),0)))</f>
        <v>Payroll</v>
      </c>
      <c r="D36" s="7" t="str">
        <f>INDEX('Forecast 1'!$B$9:$B$56,MATCH('Bank Statement Export'!C36,'Forecast 1'!$B$9:$B$56,0))</f>
        <v>Payroll</v>
      </c>
      <c r="E36" s="14">
        <v>35</v>
      </c>
      <c r="F36" s="10">
        <v>45219</v>
      </c>
      <c r="G36" s="9">
        <v>79740</v>
      </c>
      <c r="H36" s="9" t="s">
        <v>16</v>
      </c>
      <c r="I36" s="11">
        <v>-1900</v>
      </c>
      <c r="J36" s="11">
        <v>370930</v>
      </c>
    </row>
    <row r="37" spans="1:10" x14ac:dyDescent="0.2">
      <c r="A37" s="8">
        <f t="shared" si="0"/>
        <v>45220</v>
      </c>
      <c r="B37" s="7" t="str">
        <f t="shared" si="1"/>
        <v>36 CHECK</v>
      </c>
      <c r="C37" s="7" t="str">
        <f t="array" ref="C37">IFERROR(INDEX(Mapping!$B$2:$B$22,MATCH('Bank Statement Export'!B37,Mapping!$A$2:$A$22,0)),INDEX(Table3[Category],MATCH(TRUE,ISNUMBER(SEARCH(Table3[Unique ID Contains],B37)),0)))</f>
        <v>Payroll</v>
      </c>
      <c r="D37" s="7" t="str">
        <f>INDEX('Forecast 1'!$B$9:$B$56,MATCH('Bank Statement Export'!C37,'Forecast 1'!$B$9:$B$56,0))</f>
        <v>Payroll</v>
      </c>
      <c r="E37" s="14">
        <v>36</v>
      </c>
      <c r="F37" s="10">
        <v>45219</v>
      </c>
      <c r="G37" s="9">
        <v>79741</v>
      </c>
      <c r="H37" s="9" t="s">
        <v>16</v>
      </c>
      <c r="I37" s="11">
        <v>-1070</v>
      </c>
      <c r="J37" s="11">
        <v>369860</v>
      </c>
    </row>
    <row r="38" spans="1:10" x14ac:dyDescent="0.2">
      <c r="A38" s="8">
        <f t="shared" si="0"/>
        <v>45220</v>
      </c>
      <c r="B38" s="7" t="str">
        <f t="shared" si="1"/>
        <v>37 CHECK</v>
      </c>
      <c r="C38" s="7" t="str">
        <f t="array" ref="C38">IFERROR(INDEX(Mapping!$B$2:$B$22,MATCH('Bank Statement Export'!B38,Mapping!$A$2:$A$22,0)),INDEX(Table3[Category],MATCH(TRUE,ISNUMBER(SEARCH(Table3[Unique ID Contains],B38)),0)))</f>
        <v>Payroll</v>
      </c>
      <c r="D38" s="7" t="str">
        <f>INDEX('Forecast 1'!$B$9:$B$56,MATCH('Bank Statement Export'!C38,'Forecast 1'!$B$9:$B$56,0))</f>
        <v>Payroll</v>
      </c>
      <c r="E38" s="14">
        <v>37</v>
      </c>
      <c r="F38" s="10">
        <v>45219</v>
      </c>
      <c r="G38" s="9">
        <v>79743</v>
      </c>
      <c r="H38" s="9" t="s">
        <v>16</v>
      </c>
      <c r="I38" s="11">
        <v>-1240</v>
      </c>
      <c r="J38" s="11">
        <v>368620</v>
      </c>
    </row>
    <row r="39" spans="1:10" x14ac:dyDescent="0.2">
      <c r="A39" s="8">
        <f t="shared" si="0"/>
        <v>45220</v>
      </c>
      <c r="B39" s="7" t="str">
        <f t="shared" si="1"/>
        <v>38 CHECK</v>
      </c>
      <c r="C39" s="7" t="str">
        <f t="array" ref="C39">IFERROR(INDEX(Mapping!$B$2:$B$22,MATCH('Bank Statement Export'!B39,Mapping!$A$2:$A$22,0)),INDEX(Table3[Category],MATCH(TRUE,ISNUMBER(SEARCH(Table3[Unique ID Contains],B39)),0)))</f>
        <v>Payroll</v>
      </c>
      <c r="D39" s="7" t="str">
        <f>INDEX('Forecast 1'!$B$9:$B$56,MATCH('Bank Statement Export'!C39,'Forecast 1'!$B$9:$B$56,0))</f>
        <v>Payroll</v>
      </c>
      <c r="E39" s="14">
        <v>38</v>
      </c>
      <c r="F39" s="10">
        <v>45219</v>
      </c>
      <c r="G39" s="9">
        <v>79744</v>
      </c>
      <c r="H39" s="9" t="s">
        <v>16</v>
      </c>
      <c r="I39" s="11">
        <v>-1140</v>
      </c>
      <c r="J39" s="11">
        <v>367480</v>
      </c>
    </row>
    <row r="40" spans="1:10" x14ac:dyDescent="0.2">
      <c r="A40" s="8">
        <f t="shared" si="0"/>
        <v>45220</v>
      </c>
      <c r="B40" s="7" t="str">
        <f t="shared" si="1"/>
        <v>39 CHECK</v>
      </c>
      <c r="C40" s="7" t="str">
        <f t="array" ref="C40">IFERROR(INDEX(Mapping!$B$2:$B$22,MATCH('Bank Statement Export'!B40,Mapping!$A$2:$A$22,0)),INDEX(Table3[Category],MATCH(TRUE,ISNUMBER(SEARCH(Table3[Unique ID Contains],B40)),0)))</f>
        <v>Payroll</v>
      </c>
      <c r="D40" s="7" t="str">
        <f>INDEX('Forecast 1'!$B$9:$B$56,MATCH('Bank Statement Export'!C40,'Forecast 1'!$B$9:$B$56,0))</f>
        <v>Payroll</v>
      </c>
      <c r="E40" s="14">
        <v>39</v>
      </c>
      <c r="F40" s="10">
        <v>45219</v>
      </c>
      <c r="G40" s="9">
        <v>79745</v>
      </c>
      <c r="H40" s="9" t="s">
        <v>16</v>
      </c>
      <c r="I40" s="11">
        <v>-970</v>
      </c>
      <c r="J40" s="11">
        <v>366510</v>
      </c>
    </row>
    <row r="41" spans="1:10" x14ac:dyDescent="0.2">
      <c r="A41" s="8">
        <f t="shared" si="0"/>
        <v>45220</v>
      </c>
      <c r="B41" s="7" t="str">
        <f t="shared" si="1"/>
        <v>40 CHECK</v>
      </c>
      <c r="C41" s="7" t="str">
        <f t="array" ref="C41">IFERROR(INDEX(Mapping!$B$2:$B$22,MATCH('Bank Statement Export'!B41,Mapping!$A$2:$A$22,0)),INDEX(Table3[Category],MATCH(TRUE,ISNUMBER(SEARCH(Table3[Unique ID Contains],B41)),0)))</f>
        <v>Payroll</v>
      </c>
      <c r="D41" s="7" t="str">
        <f>INDEX('Forecast 1'!$B$9:$B$56,MATCH('Bank Statement Export'!C41,'Forecast 1'!$B$9:$B$56,0))</f>
        <v>Payroll</v>
      </c>
      <c r="E41" s="14">
        <v>40</v>
      </c>
      <c r="F41" s="10">
        <v>45219</v>
      </c>
      <c r="G41" s="9">
        <v>79747</v>
      </c>
      <c r="H41" s="9" t="s">
        <v>16</v>
      </c>
      <c r="I41" s="11">
        <v>-1130</v>
      </c>
      <c r="J41" s="11">
        <v>365380</v>
      </c>
    </row>
    <row r="42" spans="1:10" x14ac:dyDescent="0.2">
      <c r="A42" s="8">
        <f t="shared" si="0"/>
        <v>45220</v>
      </c>
      <c r="B42" s="7" t="str">
        <f t="shared" si="1"/>
        <v>41 CHECK</v>
      </c>
      <c r="C42" s="7" t="str">
        <f t="array" ref="C42">IFERROR(INDEX(Mapping!$B$2:$B$22,MATCH('Bank Statement Export'!B42,Mapping!$A$2:$A$22,0)),INDEX(Table3[Category],MATCH(TRUE,ISNUMBER(SEARCH(Table3[Unique ID Contains],B42)),0)))</f>
        <v>Payroll</v>
      </c>
      <c r="D42" s="7" t="str">
        <f>INDEX('Forecast 1'!$B$9:$B$56,MATCH('Bank Statement Export'!C42,'Forecast 1'!$B$9:$B$56,0))</f>
        <v>Payroll</v>
      </c>
      <c r="E42" s="14">
        <v>41</v>
      </c>
      <c r="F42" s="10">
        <v>45219</v>
      </c>
      <c r="G42" s="9">
        <v>79748</v>
      </c>
      <c r="H42" s="9" t="s">
        <v>16</v>
      </c>
      <c r="I42" s="11">
        <v>-1150</v>
      </c>
      <c r="J42" s="11">
        <v>364230</v>
      </c>
    </row>
    <row r="43" spans="1:10" x14ac:dyDescent="0.2">
      <c r="A43" s="8">
        <f t="shared" si="0"/>
        <v>45220</v>
      </c>
      <c r="B43" s="7" t="str">
        <f t="shared" si="1"/>
        <v>42 CHECK</v>
      </c>
      <c r="C43" s="7" t="str">
        <f t="array" ref="C43">IFERROR(INDEX(Mapping!$B$2:$B$22,MATCH('Bank Statement Export'!B43,Mapping!$A$2:$A$22,0)),INDEX(Table3[Category],MATCH(TRUE,ISNUMBER(SEARCH(Table3[Unique ID Contains],B43)),0)))</f>
        <v>Payroll</v>
      </c>
      <c r="D43" s="7" t="str">
        <f>INDEX('Forecast 1'!$B$9:$B$56,MATCH('Bank Statement Export'!C43,'Forecast 1'!$B$9:$B$56,0))</f>
        <v>Payroll</v>
      </c>
      <c r="E43" s="14">
        <v>42</v>
      </c>
      <c r="F43" s="10">
        <v>45219</v>
      </c>
      <c r="G43" s="9">
        <v>79749</v>
      </c>
      <c r="H43" s="9" t="s">
        <v>16</v>
      </c>
      <c r="I43" s="11">
        <v>-1250</v>
      </c>
      <c r="J43" s="11">
        <v>362980</v>
      </c>
    </row>
    <row r="44" spans="1:10" x14ac:dyDescent="0.2">
      <c r="A44" s="8">
        <f t="shared" si="0"/>
        <v>45220</v>
      </c>
      <c r="B44" s="7" t="str">
        <f t="shared" si="1"/>
        <v>43 CHECK</v>
      </c>
      <c r="C44" s="7" t="str">
        <f t="array" ref="C44">IFERROR(INDEX(Mapping!$B$2:$B$22,MATCH('Bank Statement Export'!B44,Mapping!$A$2:$A$22,0)),INDEX(Table3[Category],MATCH(TRUE,ISNUMBER(SEARCH(Table3[Unique ID Contains],B44)),0)))</f>
        <v>Payroll</v>
      </c>
      <c r="D44" s="7" t="str">
        <f>INDEX('Forecast 1'!$B$9:$B$56,MATCH('Bank Statement Export'!C44,'Forecast 1'!$B$9:$B$56,0))</f>
        <v>Payroll</v>
      </c>
      <c r="E44" s="14">
        <v>43</v>
      </c>
      <c r="F44" s="10">
        <v>45219</v>
      </c>
      <c r="G44" s="9">
        <v>79750</v>
      </c>
      <c r="H44" s="9" t="s">
        <v>16</v>
      </c>
      <c r="I44" s="11">
        <v>-1760</v>
      </c>
      <c r="J44" s="11">
        <v>361220</v>
      </c>
    </row>
    <row r="45" spans="1:10" x14ac:dyDescent="0.2">
      <c r="A45" s="8">
        <f t="shared" si="0"/>
        <v>45220</v>
      </c>
      <c r="B45" s="7" t="str">
        <f t="shared" si="1"/>
        <v>44 CHECK</v>
      </c>
      <c r="C45" s="7" t="str">
        <f t="array" ref="C45">IFERROR(INDEX(Mapping!$B$2:$B$22,MATCH('Bank Statement Export'!B45,Mapping!$A$2:$A$22,0)),INDEX(Table3[Category],MATCH(TRUE,ISNUMBER(SEARCH(Table3[Unique ID Contains],B45)),0)))</f>
        <v>Payroll</v>
      </c>
      <c r="D45" s="7" t="str">
        <f>INDEX('Forecast 1'!$B$9:$B$56,MATCH('Bank Statement Export'!C45,'Forecast 1'!$B$9:$B$56,0))</f>
        <v>Payroll</v>
      </c>
      <c r="E45" s="14">
        <v>44</v>
      </c>
      <c r="F45" s="10">
        <v>45219</v>
      </c>
      <c r="G45" s="9">
        <v>79751</v>
      </c>
      <c r="H45" s="9" t="s">
        <v>16</v>
      </c>
      <c r="I45" s="11">
        <v>-1280</v>
      </c>
      <c r="J45" s="11">
        <v>359940</v>
      </c>
    </row>
    <row r="46" spans="1:10" x14ac:dyDescent="0.2">
      <c r="A46" s="8">
        <f t="shared" si="0"/>
        <v>45220</v>
      </c>
      <c r="B46" s="7" t="str">
        <f t="shared" si="1"/>
        <v>45 CHECK</v>
      </c>
      <c r="C46" s="7" t="str">
        <f t="array" ref="C46">IFERROR(INDEX(Mapping!$B$2:$B$22,MATCH('Bank Statement Export'!B46,Mapping!$A$2:$A$22,0)),INDEX(Table3[Category],MATCH(TRUE,ISNUMBER(SEARCH(Table3[Unique ID Contains],B46)),0)))</f>
        <v>Payroll</v>
      </c>
      <c r="D46" s="7" t="str">
        <f>INDEX('Forecast 1'!$B$9:$B$56,MATCH('Bank Statement Export'!C46,'Forecast 1'!$B$9:$B$56,0))</f>
        <v>Payroll</v>
      </c>
      <c r="E46" s="14">
        <v>45</v>
      </c>
      <c r="F46" s="10">
        <v>45219</v>
      </c>
      <c r="G46" s="9">
        <v>79752</v>
      </c>
      <c r="H46" s="9" t="s">
        <v>16</v>
      </c>
      <c r="I46" s="11">
        <v>-1450</v>
      </c>
      <c r="J46" s="11">
        <v>358490</v>
      </c>
    </row>
    <row r="47" spans="1:10" x14ac:dyDescent="0.2">
      <c r="A47" s="8">
        <f t="shared" si="0"/>
        <v>45220</v>
      </c>
      <c r="B47" s="7" t="str">
        <f t="shared" si="1"/>
        <v>46 CHECK</v>
      </c>
      <c r="C47" s="7" t="str">
        <f t="array" ref="C47">IFERROR(INDEX(Mapping!$B$2:$B$22,MATCH('Bank Statement Export'!B47,Mapping!$A$2:$A$22,0)),INDEX(Table3[Category],MATCH(TRUE,ISNUMBER(SEARCH(Table3[Unique ID Contains],B47)),0)))</f>
        <v>Payroll</v>
      </c>
      <c r="D47" s="7" t="str">
        <f>INDEX('Forecast 1'!$B$9:$B$56,MATCH('Bank Statement Export'!C47,'Forecast 1'!$B$9:$B$56,0))</f>
        <v>Payroll</v>
      </c>
      <c r="E47" s="14">
        <v>46</v>
      </c>
      <c r="F47" s="10">
        <v>45219</v>
      </c>
      <c r="G47" s="9">
        <v>79753</v>
      </c>
      <c r="H47" s="9" t="s">
        <v>16</v>
      </c>
      <c r="I47" s="11">
        <v>-1300</v>
      </c>
      <c r="J47" s="11">
        <v>357190</v>
      </c>
    </row>
    <row r="48" spans="1:10" x14ac:dyDescent="0.2">
      <c r="A48" s="8">
        <f t="shared" si="0"/>
        <v>45220</v>
      </c>
      <c r="B48" s="7" t="str">
        <f t="shared" si="1"/>
        <v>47 CHECK</v>
      </c>
      <c r="C48" s="7" t="str">
        <f t="array" ref="C48">IFERROR(INDEX(Mapping!$B$2:$B$22,MATCH('Bank Statement Export'!B48,Mapping!$A$2:$A$22,0)),INDEX(Table3[Category],MATCH(TRUE,ISNUMBER(SEARCH(Table3[Unique ID Contains],B48)),0)))</f>
        <v>Payroll</v>
      </c>
      <c r="D48" s="7" t="str">
        <f>INDEX('Forecast 1'!$B$9:$B$56,MATCH('Bank Statement Export'!C48,'Forecast 1'!$B$9:$B$56,0))</f>
        <v>Payroll</v>
      </c>
      <c r="E48" s="14">
        <v>47</v>
      </c>
      <c r="F48" s="10">
        <v>45219</v>
      </c>
      <c r="G48" s="9">
        <v>79755</v>
      </c>
      <c r="H48" s="9" t="s">
        <v>16</v>
      </c>
      <c r="I48" s="11">
        <v>-1160</v>
      </c>
      <c r="J48" s="11">
        <v>356030</v>
      </c>
    </row>
    <row r="49" spans="1:10" x14ac:dyDescent="0.2">
      <c r="A49" s="8">
        <f t="shared" si="0"/>
        <v>45220</v>
      </c>
      <c r="B49" s="7" t="str">
        <f t="shared" si="1"/>
        <v>48 CHECK</v>
      </c>
      <c r="C49" s="7" t="str">
        <f t="array" ref="C49">IFERROR(INDEX(Mapping!$B$2:$B$22,MATCH('Bank Statement Export'!B49,Mapping!$A$2:$A$22,0)),INDEX(Table3[Category],MATCH(TRUE,ISNUMBER(SEARCH(Table3[Unique ID Contains],B49)),0)))</f>
        <v>Payroll</v>
      </c>
      <c r="D49" s="7" t="str">
        <f>INDEX('Forecast 1'!$B$9:$B$56,MATCH('Bank Statement Export'!C49,'Forecast 1'!$B$9:$B$56,0))</f>
        <v>Payroll</v>
      </c>
      <c r="E49" s="14">
        <v>48</v>
      </c>
      <c r="F49" s="10">
        <v>45219</v>
      </c>
      <c r="G49" s="9">
        <v>79756</v>
      </c>
      <c r="H49" s="9" t="s">
        <v>16</v>
      </c>
      <c r="I49" s="11">
        <v>-1150</v>
      </c>
      <c r="J49" s="11">
        <v>354880</v>
      </c>
    </row>
    <row r="50" spans="1:10" x14ac:dyDescent="0.2">
      <c r="A50" s="8">
        <f t="shared" si="0"/>
        <v>45220</v>
      </c>
      <c r="B50" s="7" t="str">
        <f t="shared" si="1"/>
        <v>49 CHECK</v>
      </c>
      <c r="C50" s="7" t="str">
        <f t="array" ref="C50">IFERROR(INDEX(Mapping!$B$2:$B$22,MATCH('Bank Statement Export'!B50,Mapping!$A$2:$A$22,0)),INDEX(Table3[Category],MATCH(TRUE,ISNUMBER(SEARCH(Table3[Unique ID Contains],B50)),0)))</f>
        <v>Payroll</v>
      </c>
      <c r="D50" s="7" t="str">
        <f>INDEX('Forecast 1'!$B$9:$B$56,MATCH('Bank Statement Export'!C50,'Forecast 1'!$B$9:$B$56,0))</f>
        <v>Payroll</v>
      </c>
      <c r="E50" s="14">
        <v>49</v>
      </c>
      <c r="F50" s="10">
        <v>45219</v>
      </c>
      <c r="G50" s="9">
        <v>79757</v>
      </c>
      <c r="H50" s="9" t="s">
        <v>16</v>
      </c>
      <c r="I50" s="11">
        <v>-1380</v>
      </c>
      <c r="J50" s="11">
        <v>353500</v>
      </c>
    </row>
    <row r="51" spans="1:10" x14ac:dyDescent="0.2">
      <c r="A51" s="8">
        <f t="shared" si="0"/>
        <v>45220</v>
      </c>
      <c r="B51" s="7" t="str">
        <f t="shared" si="1"/>
        <v>50 CHECK</v>
      </c>
      <c r="C51" s="7" t="str">
        <f t="array" ref="C51">IFERROR(INDEX(Mapping!$B$2:$B$22,MATCH('Bank Statement Export'!B51,Mapping!$A$2:$A$22,0)),INDEX(Table3[Category],MATCH(TRUE,ISNUMBER(SEARCH(Table3[Unique ID Contains],B51)),0)))</f>
        <v>Payroll</v>
      </c>
      <c r="D51" s="7" t="str">
        <f>INDEX('Forecast 1'!$B$9:$B$56,MATCH('Bank Statement Export'!C51,'Forecast 1'!$B$9:$B$56,0))</f>
        <v>Payroll</v>
      </c>
      <c r="E51" s="14">
        <v>50</v>
      </c>
      <c r="F51" s="10">
        <v>45219</v>
      </c>
      <c r="G51" s="9">
        <v>79758</v>
      </c>
      <c r="H51" s="9" t="s">
        <v>16</v>
      </c>
      <c r="I51" s="11">
        <v>-1510</v>
      </c>
      <c r="J51" s="11">
        <v>351990</v>
      </c>
    </row>
    <row r="52" spans="1:10" x14ac:dyDescent="0.2">
      <c r="A52" s="8">
        <f t="shared" si="0"/>
        <v>45220</v>
      </c>
      <c r="B52" s="7" t="str">
        <f t="shared" si="1"/>
        <v>51 CHECK</v>
      </c>
      <c r="C52" s="7" t="str">
        <f t="array" ref="C52">IFERROR(INDEX(Mapping!$B$2:$B$22,MATCH('Bank Statement Export'!B52,Mapping!$A$2:$A$22,0)),INDEX(Table3[Category],MATCH(TRUE,ISNUMBER(SEARCH(Table3[Unique ID Contains],B52)),0)))</f>
        <v>Payroll</v>
      </c>
      <c r="D52" s="7" t="str">
        <f>INDEX('Forecast 1'!$B$9:$B$56,MATCH('Bank Statement Export'!C52,'Forecast 1'!$B$9:$B$56,0))</f>
        <v>Payroll</v>
      </c>
      <c r="E52" s="14">
        <v>51</v>
      </c>
      <c r="F52" s="10">
        <v>45219</v>
      </c>
      <c r="G52" s="9">
        <v>79759</v>
      </c>
      <c r="H52" s="9" t="s">
        <v>16</v>
      </c>
      <c r="I52" s="11">
        <v>-1180</v>
      </c>
      <c r="J52" s="11">
        <v>350810</v>
      </c>
    </row>
    <row r="53" spans="1:10" x14ac:dyDescent="0.2">
      <c r="A53" s="8">
        <f t="shared" si="0"/>
        <v>45220</v>
      </c>
      <c r="B53" s="7" t="str">
        <f t="shared" si="1"/>
        <v>52 CHECK</v>
      </c>
      <c r="C53" s="7" t="str">
        <f t="array" ref="C53">IFERROR(INDEX(Mapping!$B$2:$B$22,MATCH('Bank Statement Export'!B53,Mapping!$A$2:$A$22,0)),INDEX(Table3[Category],MATCH(TRUE,ISNUMBER(SEARCH(Table3[Unique ID Contains],B53)),0)))</f>
        <v>Payroll</v>
      </c>
      <c r="D53" s="7" t="str">
        <f>INDEX('Forecast 1'!$B$9:$B$56,MATCH('Bank Statement Export'!C53,'Forecast 1'!$B$9:$B$56,0))</f>
        <v>Payroll</v>
      </c>
      <c r="E53" s="14">
        <v>52</v>
      </c>
      <c r="F53" s="10">
        <v>45219</v>
      </c>
      <c r="G53" s="9">
        <v>79760</v>
      </c>
      <c r="H53" s="9" t="s">
        <v>16</v>
      </c>
      <c r="I53" s="11">
        <v>-1020</v>
      </c>
      <c r="J53" s="11">
        <v>349790</v>
      </c>
    </row>
    <row r="54" spans="1:10" x14ac:dyDescent="0.2">
      <c r="A54" s="8">
        <f t="shared" si="0"/>
        <v>45220</v>
      </c>
      <c r="B54" s="7" t="str">
        <f t="shared" si="1"/>
        <v>53 CHECK</v>
      </c>
      <c r="C54" s="7" t="str">
        <f t="array" ref="C54">IFERROR(INDEX(Mapping!$B$2:$B$22,MATCH('Bank Statement Export'!B54,Mapping!$A$2:$A$22,0)),INDEX(Table3[Category],MATCH(TRUE,ISNUMBER(SEARCH(Table3[Unique ID Contains],B54)),0)))</f>
        <v>Payroll</v>
      </c>
      <c r="D54" s="7" t="str">
        <f>INDEX('Forecast 1'!$B$9:$B$56,MATCH('Bank Statement Export'!C54,'Forecast 1'!$B$9:$B$56,0))</f>
        <v>Payroll</v>
      </c>
      <c r="E54" s="14">
        <v>53</v>
      </c>
      <c r="F54" s="10">
        <v>45219</v>
      </c>
      <c r="G54" s="9">
        <v>79761</v>
      </c>
      <c r="H54" s="9" t="s">
        <v>16</v>
      </c>
      <c r="I54" s="11">
        <v>-1280</v>
      </c>
      <c r="J54" s="11">
        <v>348510</v>
      </c>
    </row>
    <row r="55" spans="1:10" x14ac:dyDescent="0.2">
      <c r="A55" s="8">
        <f t="shared" si="0"/>
        <v>45220</v>
      </c>
      <c r="B55" s="7" t="str">
        <f t="shared" si="1"/>
        <v>54 CHECK</v>
      </c>
      <c r="C55" s="7" t="str">
        <f t="array" ref="C55">IFERROR(INDEX(Mapping!$B$2:$B$22,MATCH('Bank Statement Export'!B55,Mapping!$A$2:$A$22,0)),INDEX(Table3[Category],MATCH(TRUE,ISNUMBER(SEARCH(Table3[Unique ID Contains],B55)),0)))</f>
        <v>Payroll</v>
      </c>
      <c r="D55" s="7" t="str">
        <f>INDEX('Forecast 1'!$B$9:$B$56,MATCH('Bank Statement Export'!C55,'Forecast 1'!$B$9:$B$56,0))</f>
        <v>Payroll</v>
      </c>
      <c r="E55" s="14">
        <v>54</v>
      </c>
      <c r="F55" s="10">
        <v>45219</v>
      </c>
      <c r="G55" s="9">
        <v>79762</v>
      </c>
      <c r="H55" s="9" t="s">
        <v>16</v>
      </c>
      <c r="I55" s="11">
        <v>-1890</v>
      </c>
      <c r="J55" s="11">
        <v>346620</v>
      </c>
    </row>
    <row r="56" spans="1:10" x14ac:dyDescent="0.2">
      <c r="A56" s="8">
        <f t="shared" si="0"/>
        <v>45220</v>
      </c>
      <c r="B56" s="7" t="str">
        <f t="shared" si="1"/>
        <v>55 CHECK</v>
      </c>
      <c r="C56" s="7" t="str">
        <f t="array" ref="C56">IFERROR(INDEX(Mapping!$B$2:$B$22,MATCH('Bank Statement Export'!B56,Mapping!$A$2:$A$22,0)),INDEX(Table3[Category],MATCH(TRUE,ISNUMBER(SEARCH(Table3[Unique ID Contains],B56)),0)))</f>
        <v>Payroll</v>
      </c>
      <c r="D56" s="7" t="str">
        <f>INDEX('Forecast 1'!$B$9:$B$56,MATCH('Bank Statement Export'!C56,'Forecast 1'!$B$9:$B$56,0))</f>
        <v>Payroll</v>
      </c>
      <c r="E56" s="14">
        <v>55</v>
      </c>
      <c r="F56" s="10">
        <v>45219</v>
      </c>
      <c r="G56" s="9">
        <v>79763</v>
      </c>
      <c r="H56" s="9" t="s">
        <v>16</v>
      </c>
      <c r="I56" s="11">
        <v>-1040</v>
      </c>
      <c r="J56" s="11">
        <v>345580</v>
      </c>
    </row>
    <row r="57" spans="1:10" x14ac:dyDescent="0.2">
      <c r="A57" s="8">
        <f t="shared" si="0"/>
        <v>45227</v>
      </c>
      <c r="B57" s="7" t="str">
        <f t="shared" si="1"/>
        <v>56 WEB AUTHORIZED PMT KRYPTONIX</v>
      </c>
      <c r="C57" s="7" t="str">
        <f t="array" ref="C57">IFERROR(INDEX(Mapping!$B$2:$B$22,MATCH('Bank Statement Export'!B57,Mapping!$A$2:$A$22,0)),INDEX(Table3[Category],MATCH(TRUE,ISNUMBER(SEARCH(Table3[Unique ID Contains],B57)),0)))</f>
        <v>Dues &amp; Subscriptions</v>
      </c>
      <c r="D57" s="7" t="str">
        <f>INDEX('Forecast 1'!$B$9:$B$56,MATCH('Bank Statement Export'!C57,'Forecast 1'!$B$9:$B$56,0))</f>
        <v>Dues &amp; Subscriptions</v>
      </c>
      <c r="E57" s="14">
        <v>56</v>
      </c>
      <c r="F57" s="10">
        <v>45222</v>
      </c>
      <c r="G57" s="9" t="s">
        <v>14</v>
      </c>
      <c r="H57" s="9" t="s">
        <v>15</v>
      </c>
      <c r="I57" s="11">
        <v>-80</v>
      </c>
      <c r="J57" s="11">
        <v>345500</v>
      </c>
    </row>
    <row r="58" spans="1:10" x14ac:dyDescent="0.2">
      <c r="A58" s="8">
        <f t="shared" si="0"/>
        <v>45227</v>
      </c>
      <c r="B58" s="7" t="str">
        <f t="shared" si="1"/>
        <v>57 WEB AUTHORIZED PMT KRYPTONIX</v>
      </c>
      <c r="C58" s="7" t="str">
        <f t="array" ref="C58">IFERROR(INDEX(Mapping!$B$2:$B$22,MATCH('Bank Statement Export'!B58,Mapping!$A$2:$A$22,0)),INDEX(Table3[Category],MATCH(TRUE,ISNUMBER(SEARCH(Table3[Unique ID Contains],B58)),0)))</f>
        <v>Dues &amp; Subscriptions</v>
      </c>
      <c r="D58" s="7" t="str">
        <f>INDEX('Forecast 1'!$B$9:$B$56,MATCH('Bank Statement Export'!C58,'Forecast 1'!$B$9:$B$56,0))</f>
        <v>Dues &amp; Subscriptions</v>
      </c>
      <c r="E58" s="14">
        <v>57</v>
      </c>
      <c r="F58" s="10">
        <v>45222</v>
      </c>
      <c r="G58" s="9" t="s">
        <v>14</v>
      </c>
      <c r="H58" s="9" t="s">
        <v>15</v>
      </c>
      <c r="I58" s="11">
        <v>-230</v>
      </c>
      <c r="J58" s="11">
        <v>345270</v>
      </c>
    </row>
    <row r="59" spans="1:10" x14ac:dyDescent="0.2">
      <c r="A59" s="8">
        <f t="shared" si="0"/>
        <v>45227</v>
      </c>
      <c r="B59" s="7" t="str">
        <f t="shared" si="1"/>
        <v>58 CHECK</v>
      </c>
      <c r="C59" s="7" t="str">
        <f t="array" ref="C59">IFERROR(INDEX(Mapping!$B$2:$B$22,MATCH('Bank Statement Export'!B59,Mapping!$A$2:$A$22,0)),INDEX(Table3[Category],MATCH(TRUE,ISNUMBER(SEARCH(Table3[Unique ID Contains],B59)),0)))</f>
        <v>Payroll</v>
      </c>
      <c r="D59" s="7" t="str">
        <f>INDEX('Forecast 1'!$B$9:$B$56,MATCH('Bank Statement Export'!C59,'Forecast 1'!$B$9:$B$56,0))</f>
        <v>Payroll</v>
      </c>
      <c r="E59" s="14">
        <v>58</v>
      </c>
      <c r="F59" s="10">
        <v>45222</v>
      </c>
      <c r="G59" s="9">
        <v>79725</v>
      </c>
      <c r="H59" s="9" t="s">
        <v>16</v>
      </c>
      <c r="I59" s="11">
        <v>-1210</v>
      </c>
      <c r="J59" s="11">
        <v>344060</v>
      </c>
    </row>
    <row r="60" spans="1:10" x14ac:dyDescent="0.2">
      <c r="A60" s="8">
        <f t="shared" si="0"/>
        <v>45227</v>
      </c>
      <c r="B60" s="7" t="str">
        <f t="shared" si="1"/>
        <v>59 CHECK</v>
      </c>
      <c r="C60" s="7" t="str">
        <f t="array" ref="C60">IFERROR(INDEX(Mapping!$B$2:$B$22,MATCH('Bank Statement Export'!B60,Mapping!$A$2:$A$22,0)),INDEX(Table3[Category],MATCH(TRUE,ISNUMBER(SEARCH(Table3[Unique ID Contains],B60)),0)))</f>
        <v>Payroll</v>
      </c>
      <c r="D60" s="7" t="str">
        <f>INDEX('Forecast 1'!$B$9:$B$56,MATCH('Bank Statement Export'!C60,'Forecast 1'!$B$9:$B$56,0))</f>
        <v>Payroll</v>
      </c>
      <c r="E60" s="14">
        <v>59</v>
      </c>
      <c r="F60" s="10">
        <v>45222</v>
      </c>
      <c r="G60" s="9">
        <v>79733</v>
      </c>
      <c r="H60" s="9" t="s">
        <v>16</v>
      </c>
      <c r="I60" s="11">
        <v>-1270</v>
      </c>
      <c r="J60" s="11">
        <v>342790</v>
      </c>
    </row>
    <row r="61" spans="1:10" x14ac:dyDescent="0.2">
      <c r="A61" s="8">
        <f t="shared" si="0"/>
        <v>45227</v>
      </c>
      <c r="B61" s="7" t="str">
        <f t="shared" si="1"/>
        <v>60 CHECK</v>
      </c>
      <c r="C61" s="7" t="str">
        <f t="array" ref="C61">IFERROR(INDEX(Mapping!$B$2:$B$22,MATCH('Bank Statement Export'!B61,Mapping!$A$2:$A$22,0)),INDEX(Table3[Category],MATCH(TRUE,ISNUMBER(SEARCH(Table3[Unique ID Contains],B61)),0)))</f>
        <v>Payroll</v>
      </c>
      <c r="D61" s="7" t="str">
        <f>INDEX('Forecast 1'!$B$9:$B$56,MATCH('Bank Statement Export'!C61,'Forecast 1'!$B$9:$B$56,0))</f>
        <v>Payroll</v>
      </c>
      <c r="E61" s="14">
        <v>60</v>
      </c>
      <c r="F61" s="10">
        <v>45222</v>
      </c>
      <c r="G61" s="9">
        <v>79737</v>
      </c>
      <c r="H61" s="9" t="s">
        <v>16</v>
      </c>
      <c r="I61" s="11">
        <v>-1340</v>
      </c>
      <c r="J61" s="11">
        <v>341450</v>
      </c>
    </row>
    <row r="62" spans="1:10" x14ac:dyDescent="0.2">
      <c r="A62" s="8">
        <f t="shared" si="0"/>
        <v>45227</v>
      </c>
      <c r="B62" s="7" t="str">
        <f t="shared" si="1"/>
        <v>61 CHECK</v>
      </c>
      <c r="C62" s="7" t="str">
        <f t="array" ref="C62">IFERROR(INDEX(Mapping!$B$2:$B$22,MATCH('Bank Statement Export'!B62,Mapping!$A$2:$A$22,0)),INDEX(Table3[Category],MATCH(TRUE,ISNUMBER(SEARCH(Table3[Unique ID Contains],B62)),0)))</f>
        <v>Payroll</v>
      </c>
      <c r="D62" s="7" t="str">
        <f>INDEX('Forecast 1'!$B$9:$B$56,MATCH('Bank Statement Export'!C62,'Forecast 1'!$B$9:$B$56,0))</f>
        <v>Payroll</v>
      </c>
      <c r="E62" s="14">
        <v>61</v>
      </c>
      <c r="F62" s="10">
        <v>45222</v>
      </c>
      <c r="G62" s="9">
        <v>79742</v>
      </c>
      <c r="H62" s="9" t="s">
        <v>16</v>
      </c>
      <c r="I62" s="11">
        <v>-1690</v>
      </c>
      <c r="J62" s="11">
        <v>339760</v>
      </c>
    </row>
    <row r="63" spans="1:10" x14ac:dyDescent="0.2">
      <c r="A63" s="8">
        <f t="shared" si="0"/>
        <v>45227</v>
      </c>
      <c r="B63" s="7" t="str">
        <f t="shared" si="1"/>
        <v>62 CHECK</v>
      </c>
      <c r="C63" s="7" t="str">
        <f t="array" ref="C63">IFERROR(INDEX(Mapping!$B$2:$B$22,MATCH('Bank Statement Export'!B63,Mapping!$A$2:$A$22,0)),INDEX(Table3[Category],MATCH(TRUE,ISNUMBER(SEARCH(Table3[Unique ID Contains],B63)),0)))</f>
        <v>Payroll</v>
      </c>
      <c r="D63" s="7" t="str">
        <f>INDEX('Forecast 1'!$B$9:$B$56,MATCH('Bank Statement Export'!C63,'Forecast 1'!$B$9:$B$56,0))</f>
        <v>Payroll</v>
      </c>
      <c r="E63" s="14">
        <v>62</v>
      </c>
      <c r="F63" s="10">
        <v>45222</v>
      </c>
      <c r="G63" s="9">
        <v>79746</v>
      </c>
      <c r="H63" s="9" t="s">
        <v>16</v>
      </c>
      <c r="I63" s="11">
        <v>-150</v>
      </c>
      <c r="J63" s="11">
        <v>339610</v>
      </c>
    </row>
    <row r="64" spans="1:10" x14ac:dyDescent="0.2">
      <c r="A64" s="8">
        <f t="shared" si="0"/>
        <v>45227</v>
      </c>
      <c r="B64" s="7" t="str">
        <f t="shared" si="1"/>
        <v>63 CHECK</v>
      </c>
      <c r="C64" s="7" t="str">
        <f t="array" ref="C64">IFERROR(INDEX(Mapping!$B$2:$B$22,MATCH('Bank Statement Export'!B64,Mapping!$A$2:$A$22,0)),INDEX(Table3[Category],MATCH(TRUE,ISNUMBER(SEARCH(Table3[Unique ID Contains],B64)),0)))</f>
        <v>Payroll</v>
      </c>
      <c r="D64" s="7" t="str">
        <f>INDEX('Forecast 1'!$B$9:$B$56,MATCH('Bank Statement Export'!C64,'Forecast 1'!$B$9:$B$56,0))</f>
        <v>Payroll</v>
      </c>
      <c r="E64" s="14">
        <v>63</v>
      </c>
      <c r="F64" s="10">
        <v>45222</v>
      </c>
      <c r="G64" s="9">
        <v>79765</v>
      </c>
      <c r="H64" s="9" t="s">
        <v>16</v>
      </c>
      <c r="I64" s="11">
        <v>-290</v>
      </c>
      <c r="J64" s="11">
        <v>339320</v>
      </c>
    </row>
    <row r="65" spans="1:10" x14ac:dyDescent="0.2">
      <c r="A65" s="8">
        <f t="shared" si="0"/>
        <v>45227</v>
      </c>
      <c r="B65" s="7" t="str">
        <f t="shared" si="1"/>
        <v>64 ELECTRONIC WITHDRAWAL GLOWTECH</v>
      </c>
      <c r="C65" s="7" t="str">
        <f t="array" ref="C65">IFERROR(INDEX(Mapping!$B$2:$B$22,MATCH('Bank Statement Export'!B65,Mapping!$A$2:$A$22,0)),INDEX(Table3[Category],MATCH(TRUE,ISNUMBER(SEARCH(Table3[Unique ID Contains],B65)),0)))</f>
        <v>Technology</v>
      </c>
      <c r="D65" s="7" t="str">
        <f>INDEX('Forecast 1'!$B$9:$B$56,MATCH('Bank Statement Export'!C65,'Forecast 1'!$B$9:$B$56,0))</f>
        <v>Technology</v>
      </c>
      <c r="E65" s="14">
        <v>64</v>
      </c>
      <c r="F65" s="10">
        <v>45223</v>
      </c>
      <c r="G65" s="9" t="s">
        <v>14</v>
      </c>
      <c r="H65" s="9" t="s">
        <v>19</v>
      </c>
      <c r="I65" s="11">
        <v>-1110</v>
      </c>
      <c r="J65" s="11">
        <v>338210</v>
      </c>
    </row>
    <row r="66" spans="1:10" x14ac:dyDescent="0.2">
      <c r="A66" s="8">
        <f t="shared" si="0"/>
        <v>45227</v>
      </c>
      <c r="B66" s="7" t="str">
        <f t="shared" si="1"/>
        <v>65 CHECK</v>
      </c>
      <c r="C66" s="7" t="str">
        <f t="array" ref="C66">IFERROR(INDEX(Mapping!$B$2:$B$22,MATCH('Bank Statement Export'!B66,Mapping!$A$2:$A$22,0)),INDEX(Table3[Category],MATCH(TRUE,ISNUMBER(SEARCH(Table3[Unique ID Contains],B66)),0)))</f>
        <v>Payroll</v>
      </c>
      <c r="D66" s="7" t="str">
        <f>INDEX('Forecast 1'!$B$9:$B$56,MATCH('Bank Statement Export'!C66,'Forecast 1'!$B$9:$B$56,0))</f>
        <v>Payroll</v>
      </c>
      <c r="E66" s="14">
        <v>65</v>
      </c>
      <c r="F66" s="10">
        <v>45223</v>
      </c>
      <c r="G66" s="9">
        <v>79768</v>
      </c>
      <c r="H66" s="9" t="s">
        <v>16</v>
      </c>
      <c r="I66" s="11">
        <v>-260</v>
      </c>
      <c r="J66" s="11">
        <v>337950</v>
      </c>
    </row>
    <row r="67" spans="1:10" x14ac:dyDescent="0.2">
      <c r="A67" s="8">
        <f t="shared" ref="A67:A130" si="2">F67+7-WEEKDAY(F67)</f>
        <v>45227</v>
      </c>
      <c r="B67" s="7" t="str">
        <f t="shared" ref="B67:B130" si="3">CONCATENATE(E67," ",H67)</f>
        <v>66 ELECTRONIC WITHDRAWAL CRYONIX</v>
      </c>
      <c r="C67" s="7" t="str">
        <f t="array" ref="C67">IFERROR(INDEX(Mapping!$B$2:$B$22,MATCH('Bank Statement Export'!B67,Mapping!$A$2:$A$22,0)),INDEX(Table3[Category],MATCH(TRUE,ISNUMBER(SEARCH(Table3[Unique ID Contains],B67)),0)))</f>
        <v>Other Operating Outflows</v>
      </c>
      <c r="D67" s="7" t="str">
        <f>INDEX('Forecast 1'!$B$9:$B$56,MATCH('Bank Statement Export'!C67,'Forecast 1'!$B$9:$B$56,0))</f>
        <v>Other Operating Outflows</v>
      </c>
      <c r="E67" s="14">
        <v>66</v>
      </c>
      <c r="F67" s="10">
        <v>45224</v>
      </c>
      <c r="G67" s="9" t="s">
        <v>14</v>
      </c>
      <c r="H67" s="9" t="s">
        <v>24</v>
      </c>
      <c r="I67" s="11">
        <v>-1270</v>
      </c>
      <c r="J67" s="11">
        <v>336680</v>
      </c>
    </row>
    <row r="68" spans="1:10" x14ac:dyDescent="0.2">
      <c r="A68" s="8">
        <f t="shared" si="2"/>
        <v>45227</v>
      </c>
      <c r="B68" s="7" t="str">
        <f t="shared" si="3"/>
        <v>67 ELECTRONIC WITHDRAWAL PAYROLL</v>
      </c>
      <c r="C68" s="7" t="str">
        <f t="array" ref="C68">IFERROR(INDEX(Mapping!$B$2:$B$22,MATCH('Bank Statement Export'!B68,Mapping!$A$2:$A$22,0)),INDEX(Table3[Category],MATCH(TRUE,ISNUMBER(SEARCH(Table3[Unique ID Contains],B68)),0)))</f>
        <v>Payroll</v>
      </c>
      <c r="D68" s="7" t="str">
        <f>INDEX('Forecast 1'!$B$9:$B$56,MATCH('Bank Statement Export'!C68,'Forecast 1'!$B$9:$B$56,0))</f>
        <v>Payroll</v>
      </c>
      <c r="E68" s="14">
        <v>67</v>
      </c>
      <c r="F68" s="10">
        <v>45225</v>
      </c>
      <c r="G68" s="9" t="s">
        <v>14</v>
      </c>
      <c r="H68" s="9" t="s">
        <v>22</v>
      </c>
      <c r="I68" s="11">
        <v>-22720</v>
      </c>
      <c r="J68" s="11">
        <v>313960</v>
      </c>
    </row>
    <row r="69" spans="1:10" x14ac:dyDescent="0.2">
      <c r="A69" s="8">
        <f t="shared" si="2"/>
        <v>45227</v>
      </c>
      <c r="B69" s="7" t="str">
        <f t="shared" si="3"/>
        <v>68 ELECTRONIC WITHDRAWAL IRS</v>
      </c>
      <c r="C69" s="7" t="str">
        <f t="array" ref="C69">IFERROR(INDEX(Mapping!$B$2:$B$22,MATCH('Bank Statement Export'!B69,Mapping!$A$2:$A$22,0)),INDEX(Table3[Category],MATCH(TRUE,ISNUMBER(SEARCH(Table3[Unique ID Contains],B69)),0)))</f>
        <v>Tax Distributions</v>
      </c>
      <c r="D69" s="7" t="str">
        <f>INDEX('Forecast 1'!$B$9:$B$56,MATCH('Bank Statement Export'!C69,'Forecast 1'!$B$9:$B$56,0))</f>
        <v>Tax Distributions</v>
      </c>
      <c r="E69" s="14">
        <v>68</v>
      </c>
      <c r="F69" s="10">
        <v>45225</v>
      </c>
      <c r="G69" s="9" t="s">
        <v>14</v>
      </c>
      <c r="H69" s="9" t="s">
        <v>21</v>
      </c>
      <c r="I69" s="11">
        <v>-17760</v>
      </c>
      <c r="J69" s="11">
        <v>296200</v>
      </c>
    </row>
    <row r="70" spans="1:10" x14ac:dyDescent="0.2">
      <c r="A70" s="8">
        <f t="shared" si="2"/>
        <v>45227</v>
      </c>
      <c r="B70" s="7" t="str">
        <f t="shared" si="3"/>
        <v>69 CHECK</v>
      </c>
      <c r="C70" s="7" t="str">
        <f t="array" ref="C70">IFERROR(INDEX(Mapping!$B$2:$B$22,MATCH('Bank Statement Export'!B70,Mapping!$A$2:$A$22,0)),INDEX(Table3[Category],MATCH(TRUE,ISNUMBER(SEARCH(Table3[Unique ID Contains],B70)),0)))</f>
        <v>Accounts Payable</v>
      </c>
      <c r="D70" s="7" t="str">
        <f>INDEX('Forecast 1'!$B$9:$B$56,MATCH('Bank Statement Export'!C70,'Forecast 1'!$B$9:$B$56,0))</f>
        <v>Accounts Payable</v>
      </c>
      <c r="E70" s="14">
        <v>69</v>
      </c>
      <c r="F70" s="10">
        <v>45225</v>
      </c>
      <c r="G70" s="9">
        <v>79805</v>
      </c>
      <c r="H70" s="9" t="s">
        <v>16</v>
      </c>
      <c r="I70" s="11">
        <v>-3580</v>
      </c>
      <c r="J70" s="11">
        <v>292620</v>
      </c>
    </row>
    <row r="71" spans="1:10" x14ac:dyDescent="0.2">
      <c r="A71" s="8">
        <f t="shared" si="2"/>
        <v>45227</v>
      </c>
      <c r="B71" s="7" t="str">
        <f t="shared" si="3"/>
        <v>70 ELECTRONIC WITHDRAWAL STATE DEPT REVENUE</v>
      </c>
      <c r="C71" s="7" t="str">
        <f t="array" ref="C71">IFERROR(INDEX(Mapping!$B$2:$B$22,MATCH('Bank Statement Export'!B71,Mapping!$A$2:$A$22,0)),INDEX(Table3[Category],MATCH(TRUE,ISNUMBER(SEARCH(Table3[Unique ID Contains],B71)),0)))</f>
        <v>Tax Distributions</v>
      </c>
      <c r="D71" s="7" t="str">
        <f>INDEX('Forecast 1'!$B$9:$B$56,MATCH('Bank Statement Export'!C71,'Forecast 1'!$B$9:$B$56,0))</f>
        <v>Tax Distributions</v>
      </c>
      <c r="E71" s="14">
        <v>70</v>
      </c>
      <c r="F71" s="10">
        <v>45226</v>
      </c>
      <c r="G71" s="9" t="s">
        <v>14</v>
      </c>
      <c r="H71" s="9" t="s">
        <v>20</v>
      </c>
      <c r="I71" s="11">
        <v>-3470</v>
      </c>
      <c r="J71" s="11">
        <v>289150</v>
      </c>
    </row>
    <row r="72" spans="1:10" x14ac:dyDescent="0.2">
      <c r="A72" s="8">
        <f t="shared" si="2"/>
        <v>45227</v>
      </c>
      <c r="B72" s="7" t="str">
        <f t="shared" si="3"/>
        <v>71 CHECK</v>
      </c>
      <c r="C72" s="7" t="str">
        <f t="array" ref="C72">IFERROR(INDEX(Mapping!$B$2:$B$22,MATCH('Bank Statement Export'!B72,Mapping!$A$2:$A$22,0)),INDEX(Table3[Category],MATCH(TRUE,ISNUMBER(SEARCH(Table3[Unique ID Contains],B72)),0)))</f>
        <v>Payroll</v>
      </c>
      <c r="D72" s="7" t="str">
        <f>INDEX('Forecast 1'!$B$9:$B$56,MATCH('Bank Statement Export'!C72,'Forecast 1'!$B$9:$B$56,0))</f>
        <v>Payroll</v>
      </c>
      <c r="E72" s="14">
        <v>71</v>
      </c>
      <c r="F72" s="10">
        <v>45226</v>
      </c>
      <c r="G72" s="9">
        <v>79767</v>
      </c>
      <c r="H72" s="9" t="s">
        <v>16</v>
      </c>
      <c r="I72" s="11">
        <v>-210</v>
      </c>
      <c r="J72" s="11">
        <v>288940</v>
      </c>
    </row>
    <row r="73" spans="1:10" x14ac:dyDescent="0.2">
      <c r="A73" s="8">
        <f t="shared" si="2"/>
        <v>45227</v>
      </c>
      <c r="B73" s="7" t="str">
        <f t="shared" si="3"/>
        <v>72 CHECK</v>
      </c>
      <c r="C73" s="7" t="str">
        <f t="array" ref="C73">IFERROR(INDEX(Mapping!$B$2:$B$22,MATCH('Bank Statement Export'!B73,Mapping!$A$2:$A$22,0)),INDEX(Table3[Category],MATCH(TRUE,ISNUMBER(SEARCH(Table3[Unique ID Contains],B73)),0)))</f>
        <v>Accounts Payable</v>
      </c>
      <c r="D73" s="7" t="str">
        <f>INDEX('Forecast 1'!$B$9:$B$56,MATCH('Bank Statement Export'!C73,'Forecast 1'!$B$9:$B$56,0))</f>
        <v>Accounts Payable</v>
      </c>
      <c r="E73" s="14">
        <v>72</v>
      </c>
      <c r="F73" s="10">
        <v>45226</v>
      </c>
      <c r="G73" s="9">
        <v>79806</v>
      </c>
      <c r="H73" s="9" t="s">
        <v>16</v>
      </c>
      <c r="I73" s="11">
        <v>-6420</v>
      </c>
      <c r="J73" s="11">
        <v>282520</v>
      </c>
    </row>
    <row r="74" spans="1:10" x14ac:dyDescent="0.2">
      <c r="A74" s="8">
        <f t="shared" si="2"/>
        <v>45227</v>
      </c>
      <c r="B74" s="7" t="str">
        <f t="shared" si="3"/>
        <v>73 CHECK</v>
      </c>
      <c r="C74" s="7" t="str">
        <f t="array" ref="C74">IFERROR(INDEX(Mapping!$B$2:$B$22,MATCH('Bank Statement Export'!B74,Mapping!$A$2:$A$22,0)),INDEX(Table3[Category],MATCH(TRUE,ISNUMBER(SEARCH(Table3[Unique ID Contains],B74)),0)))</f>
        <v>Accounts Payable</v>
      </c>
      <c r="D74" s="7" t="str">
        <f>INDEX('Forecast 1'!$B$9:$B$56,MATCH('Bank Statement Export'!C74,'Forecast 1'!$B$9:$B$56,0))</f>
        <v>Accounts Payable</v>
      </c>
      <c r="E74" s="14">
        <v>73</v>
      </c>
      <c r="F74" s="10">
        <v>45226</v>
      </c>
      <c r="G74" s="9">
        <v>79807</v>
      </c>
      <c r="H74" s="9" t="s">
        <v>16</v>
      </c>
      <c r="I74" s="11">
        <v>-23620</v>
      </c>
      <c r="J74" s="11">
        <v>258900</v>
      </c>
    </row>
    <row r="75" spans="1:10" x14ac:dyDescent="0.2">
      <c r="A75" s="8">
        <f t="shared" si="2"/>
        <v>45227</v>
      </c>
      <c r="B75" s="7" t="str">
        <f t="shared" si="3"/>
        <v>74 CHECK</v>
      </c>
      <c r="C75" s="7" t="str">
        <f t="array" ref="C75">IFERROR(INDEX(Mapping!$B$2:$B$22,MATCH('Bank Statement Export'!B75,Mapping!$A$2:$A$22,0)),INDEX(Table3[Category],MATCH(TRUE,ISNUMBER(SEARCH(Table3[Unique ID Contains],B75)),0)))</f>
        <v>Payroll</v>
      </c>
      <c r="D75" s="7" t="str">
        <f>INDEX('Forecast 1'!$B$9:$B$56,MATCH('Bank Statement Export'!C75,'Forecast 1'!$B$9:$B$56,0))</f>
        <v>Payroll</v>
      </c>
      <c r="E75" s="14">
        <v>74</v>
      </c>
      <c r="F75" s="10">
        <v>45226</v>
      </c>
      <c r="G75" s="9">
        <v>79810</v>
      </c>
      <c r="H75" s="9" t="s">
        <v>16</v>
      </c>
      <c r="I75" s="11">
        <v>-1360</v>
      </c>
      <c r="J75" s="11">
        <v>257540</v>
      </c>
    </row>
    <row r="76" spans="1:10" x14ac:dyDescent="0.2">
      <c r="A76" s="8">
        <f t="shared" si="2"/>
        <v>45227</v>
      </c>
      <c r="B76" s="7" t="str">
        <f t="shared" si="3"/>
        <v>75 CHECK</v>
      </c>
      <c r="C76" s="7" t="str">
        <f t="array" ref="C76">IFERROR(INDEX(Mapping!$B$2:$B$22,MATCH('Bank Statement Export'!B76,Mapping!$A$2:$A$22,0)),INDEX(Table3[Category],MATCH(TRUE,ISNUMBER(SEARCH(Table3[Unique ID Contains],B76)),0)))</f>
        <v>Payroll</v>
      </c>
      <c r="D76" s="7" t="str">
        <f>INDEX('Forecast 1'!$B$9:$B$56,MATCH('Bank Statement Export'!C76,'Forecast 1'!$B$9:$B$56,0))</f>
        <v>Payroll</v>
      </c>
      <c r="E76" s="14">
        <v>75</v>
      </c>
      <c r="F76" s="10">
        <v>45226</v>
      </c>
      <c r="G76" s="9">
        <v>79811</v>
      </c>
      <c r="H76" s="9" t="s">
        <v>16</v>
      </c>
      <c r="I76" s="11">
        <v>-1300</v>
      </c>
      <c r="J76" s="11">
        <v>256240</v>
      </c>
    </row>
    <row r="77" spans="1:10" x14ac:dyDescent="0.2">
      <c r="A77" s="8">
        <f t="shared" si="2"/>
        <v>45227</v>
      </c>
      <c r="B77" s="7" t="str">
        <f t="shared" si="3"/>
        <v>76 CHECK</v>
      </c>
      <c r="C77" s="7" t="str">
        <f t="array" ref="C77">IFERROR(INDEX(Mapping!$B$2:$B$22,MATCH('Bank Statement Export'!B77,Mapping!$A$2:$A$22,0)),INDEX(Table3[Category],MATCH(TRUE,ISNUMBER(SEARCH(Table3[Unique ID Contains],B77)),0)))</f>
        <v>Payroll</v>
      </c>
      <c r="D77" s="7" t="str">
        <f>INDEX('Forecast 1'!$B$9:$B$56,MATCH('Bank Statement Export'!C77,'Forecast 1'!$B$9:$B$56,0))</f>
        <v>Payroll</v>
      </c>
      <c r="E77" s="14">
        <v>76</v>
      </c>
      <c r="F77" s="10">
        <v>45226</v>
      </c>
      <c r="G77" s="9">
        <v>79813</v>
      </c>
      <c r="H77" s="9" t="s">
        <v>16</v>
      </c>
      <c r="I77" s="11">
        <v>-1880</v>
      </c>
      <c r="J77" s="11">
        <v>254360</v>
      </c>
    </row>
    <row r="78" spans="1:10" x14ac:dyDescent="0.2">
      <c r="A78" s="8">
        <f t="shared" si="2"/>
        <v>45227</v>
      </c>
      <c r="B78" s="7" t="str">
        <f t="shared" si="3"/>
        <v>77 CHECK</v>
      </c>
      <c r="C78" s="7" t="str">
        <f t="array" ref="C78">IFERROR(INDEX(Mapping!$B$2:$B$22,MATCH('Bank Statement Export'!B78,Mapping!$A$2:$A$22,0)),INDEX(Table3[Category],MATCH(TRUE,ISNUMBER(SEARCH(Table3[Unique ID Contains],B78)),0)))</f>
        <v>Payroll</v>
      </c>
      <c r="D78" s="7" t="str">
        <f>INDEX('Forecast 1'!$B$9:$B$56,MATCH('Bank Statement Export'!C78,'Forecast 1'!$B$9:$B$56,0))</f>
        <v>Payroll</v>
      </c>
      <c r="E78" s="14">
        <v>77</v>
      </c>
      <c r="F78" s="10">
        <v>45226</v>
      </c>
      <c r="G78" s="9">
        <v>79814</v>
      </c>
      <c r="H78" s="9" t="s">
        <v>16</v>
      </c>
      <c r="I78" s="11">
        <v>-1300</v>
      </c>
      <c r="J78" s="11">
        <v>253060</v>
      </c>
    </row>
    <row r="79" spans="1:10" x14ac:dyDescent="0.2">
      <c r="A79" s="8">
        <f t="shared" si="2"/>
        <v>45227</v>
      </c>
      <c r="B79" s="7" t="str">
        <f t="shared" si="3"/>
        <v>78 CHECK</v>
      </c>
      <c r="C79" s="7" t="str">
        <f t="array" ref="C79">IFERROR(INDEX(Mapping!$B$2:$B$22,MATCH('Bank Statement Export'!B79,Mapping!$A$2:$A$22,0)),INDEX(Table3[Category],MATCH(TRUE,ISNUMBER(SEARCH(Table3[Unique ID Contains],B79)),0)))</f>
        <v>Payroll</v>
      </c>
      <c r="D79" s="7" t="str">
        <f>INDEX('Forecast 1'!$B$9:$B$56,MATCH('Bank Statement Export'!C79,'Forecast 1'!$B$9:$B$56,0))</f>
        <v>Payroll</v>
      </c>
      <c r="E79" s="14">
        <v>78</v>
      </c>
      <c r="F79" s="10">
        <v>45226</v>
      </c>
      <c r="G79" s="9">
        <v>79816</v>
      </c>
      <c r="H79" s="9" t="s">
        <v>16</v>
      </c>
      <c r="I79" s="11">
        <v>-1300</v>
      </c>
      <c r="J79" s="11">
        <v>251760</v>
      </c>
    </row>
    <row r="80" spans="1:10" x14ac:dyDescent="0.2">
      <c r="A80" s="8">
        <f t="shared" si="2"/>
        <v>45227</v>
      </c>
      <c r="B80" s="7" t="str">
        <f t="shared" si="3"/>
        <v>79 CHECK</v>
      </c>
      <c r="C80" s="7" t="str">
        <f t="array" ref="C80">IFERROR(INDEX(Mapping!$B$2:$B$22,MATCH('Bank Statement Export'!B80,Mapping!$A$2:$A$22,0)),INDEX(Table3[Category],MATCH(TRUE,ISNUMBER(SEARCH(Table3[Unique ID Contains],B80)),0)))</f>
        <v>Payroll</v>
      </c>
      <c r="D80" s="7" t="str">
        <f>INDEX('Forecast 1'!$B$9:$B$56,MATCH('Bank Statement Export'!C80,'Forecast 1'!$B$9:$B$56,0))</f>
        <v>Payroll</v>
      </c>
      <c r="E80" s="14">
        <v>79</v>
      </c>
      <c r="F80" s="10">
        <v>45226</v>
      </c>
      <c r="G80" s="9">
        <v>79817</v>
      </c>
      <c r="H80" s="9" t="s">
        <v>16</v>
      </c>
      <c r="I80" s="11">
        <v>-1320</v>
      </c>
      <c r="J80" s="11">
        <v>250440</v>
      </c>
    </row>
    <row r="81" spans="1:10" x14ac:dyDescent="0.2">
      <c r="A81" s="8">
        <f t="shared" si="2"/>
        <v>45227</v>
      </c>
      <c r="B81" s="7" t="str">
        <f t="shared" si="3"/>
        <v>80 CHECK</v>
      </c>
      <c r="C81" s="7" t="str">
        <f t="array" ref="C81">IFERROR(INDEX(Mapping!$B$2:$B$22,MATCH('Bank Statement Export'!B81,Mapping!$A$2:$A$22,0)),INDEX(Table3[Category],MATCH(TRUE,ISNUMBER(SEARCH(Table3[Unique ID Contains],B81)),0)))</f>
        <v>Payroll</v>
      </c>
      <c r="D81" s="7" t="str">
        <f>INDEX('Forecast 1'!$B$9:$B$56,MATCH('Bank Statement Export'!C81,'Forecast 1'!$B$9:$B$56,0))</f>
        <v>Payroll</v>
      </c>
      <c r="E81" s="14">
        <v>80</v>
      </c>
      <c r="F81" s="10">
        <v>45226</v>
      </c>
      <c r="G81" s="9">
        <v>79818</v>
      </c>
      <c r="H81" s="9" t="s">
        <v>16</v>
      </c>
      <c r="I81" s="11">
        <v>-1080</v>
      </c>
      <c r="J81" s="11">
        <v>249360</v>
      </c>
    </row>
    <row r="82" spans="1:10" x14ac:dyDescent="0.2">
      <c r="A82" s="8">
        <f t="shared" si="2"/>
        <v>45227</v>
      </c>
      <c r="B82" s="7" t="str">
        <f t="shared" si="3"/>
        <v>81 CHECK</v>
      </c>
      <c r="C82" s="7" t="str">
        <f t="array" ref="C82">IFERROR(INDEX(Mapping!$B$2:$B$22,MATCH('Bank Statement Export'!B82,Mapping!$A$2:$A$22,0)),INDEX(Table3[Category],MATCH(TRUE,ISNUMBER(SEARCH(Table3[Unique ID Contains],B82)),0)))</f>
        <v>Payroll</v>
      </c>
      <c r="D82" s="7" t="str">
        <f>INDEX('Forecast 1'!$B$9:$B$56,MATCH('Bank Statement Export'!C82,'Forecast 1'!$B$9:$B$56,0))</f>
        <v>Payroll</v>
      </c>
      <c r="E82" s="14">
        <v>81</v>
      </c>
      <c r="F82" s="10">
        <v>45226</v>
      </c>
      <c r="G82" s="9">
        <v>79819</v>
      </c>
      <c r="H82" s="9" t="s">
        <v>16</v>
      </c>
      <c r="I82" s="11">
        <v>-1390</v>
      </c>
      <c r="J82" s="11">
        <v>247970</v>
      </c>
    </row>
    <row r="83" spans="1:10" x14ac:dyDescent="0.2">
      <c r="A83" s="8">
        <f t="shared" si="2"/>
        <v>45227</v>
      </c>
      <c r="B83" s="7" t="str">
        <f t="shared" si="3"/>
        <v>82 CHECK</v>
      </c>
      <c r="C83" s="7" t="str">
        <f t="array" ref="C83">IFERROR(INDEX(Mapping!$B$2:$B$22,MATCH('Bank Statement Export'!B83,Mapping!$A$2:$A$22,0)),INDEX(Table3[Category],MATCH(TRUE,ISNUMBER(SEARCH(Table3[Unique ID Contains],B83)),0)))</f>
        <v>Payroll</v>
      </c>
      <c r="D83" s="7" t="str">
        <f>INDEX('Forecast 1'!$B$9:$B$56,MATCH('Bank Statement Export'!C83,'Forecast 1'!$B$9:$B$56,0))</f>
        <v>Payroll</v>
      </c>
      <c r="E83" s="14">
        <v>82</v>
      </c>
      <c r="F83" s="10">
        <v>45226</v>
      </c>
      <c r="G83" s="9">
        <v>79822</v>
      </c>
      <c r="H83" s="9" t="s">
        <v>16</v>
      </c>
      <c r="I83" s="11">
        <v>-1340</v>
      </c>
      <c r="J83" s="11">
        <v>246630</v>
      </c>
    </row>
    <row r="84" spans="1:10" x14ac:dyDescent="0.2">
      <c r="A84" s="8">
        <f t="shared" si="2"/>
        <v>45227</v>
      </c>
      <c r="B84" s="7" t="str">
        <f t="shared" si="3"/>
        <v>83 CHECK</v>
      </c>
      <c r="C84" s="7" t="str">
        <f t="array" ref="C84">IFERROR(INDEX(Mapping!$B$2:$B$22,MATCH('Bank Statement Export'!B84,Mapping!$A$2:$A$22,0)),INDEX(Table3[Category],MATCH(TRUE,ISNUMBER(SEARCH(Table3[Unique ID Contains],B84)),0)))</f>
        <v>Payroll</v>
      </c>
      <c r="D84" s="7" t="str">
        <f>INDEX('Forecast 1'!$B$9:$B$56,MATCH('Bank Statement Export'!C84,'Forecast 1'!$B$9:$B$56,0))</f>
        <v>Payroll</v>
      </c>
      <c r="E84" s="14">
        <v>83</v>
      </c>
      <c r="F84" s="10">
        <v>45226</v>
      </c>
      <c r="G84" s="9">
        <v>79823</v>
      </c>
      <c r="H84" s="9" t="s">
        <v>16</v>
      </c>
      <c r="I84" s="11">
        <v>-1130</v>
      </c>
      <c r="J84" s="11">
        <v>245500</v>
      </c>
    </row>
    <row r="85" spans="1:10" x14ac:dyDescent="0.2">
      <c r="A85" s="8">
        <f t="shared" si="2"/>
        <v>45227</v>
      </c>
      <c r="B85" s="7" t="str">
        <f t="shared" si="3"/>
        <v>84 CHECK</v>
      </c>
      <c r="C85" s="7" t="str">
        <f t="array" ref="C85">IFERROR(INDEX(Mapping!$B$2:$B$22,MATCH('Bank Statement Export'!B85,Mapping!$A$2:$A$22,0)),INDEX(Table3[Category],MATCH(TRUE,ISNUMBER(SEARCH(Table3[Unique ID Contains],B85)),0)))</f>
        <v>Payroll</v>
      </c>
      <c r="D85" s="7" t="str">
        <f>INDEX('Forecast 1'!$B$9:$B$56,MATCH('Bank Statement Export'!C85,'Forecast 1'!$B$9:$B$56,0))</f>
        <v>Payroll</v>
      </c>
      <c r="E85" s="14">
        <v>84</v>
      </c>
      <c r="F85" s="10">
        <v>45226</v>
      </c>
      <c r="G85" s="9">
        <v>79824</v>
      </c>
      <c r="H85" s="9" t="s">
        <v>16</v>
      </c>
      <c r="I85" s="11">
        <v>-1240</v>
      </c>
      <c r="J85" s="11">
        <v>244260</v>
      </c>
    </row>
    <row r="86" spans="1:10" x14ac:dyDescent="0.2">
      <c r="A86" s="8">
        <f t="shared" si="2"/>
        <v>45227</v>
      </c>
      <c r="B86" s="7" t="str">
        <f t="shared" si="3"/>
        <v>85 CHECK</v>
      </c>
      <c r="C86" s="7" t="str">
        <f t="array" ref="C86">IFERROR(INDEX(Mapping!$B$2:$B$22,MATCH('Bank Statement Export'!B86,Mapping!$A$2:$A$22,0)),INDEX(Table3[Category],MATCH(TRUE,ISNUMBER(SEARCH(Table3[Unique ID Contains],B86)),0)))</f>
        <v>Payroll</v>
      </c>
      <c r="D86" s="7" t="str">
        <f>INDEX('Forecast 1'!$B$9:$B$56,MATCH('Bank Statement Export'!C86,'Forecast 1'!$B$9:$B$56,0))</f>
        <v>Payroll</v>
      </c>
      <c r="E86" s="14">
        <v>85</v>
      </c>
      <c r="F86" s="10">
        <v>45226</v>
      </c>
      <c r="G86" s="9">
        <v>79825</v>
      </c>
      <c r="H86" s="9" t="s">
        <v>16</v>
      </c>
      <c r="I86" s="11">
        <v>-1940</v>
      </c>
      <c r="J86" s="11">
        <v>242320</v>
      </c>
    </row>
    <row r="87" spans="1:10" x14ac:dyDescent="0.2">
      <c r="A87" s="8">
        <f t="shared" si="2"/>
        <v>45227</v>
      </c>
      <c r="B87" s="7" t="str">
        <f t="shared" si="3"/>
        <v>86 CHECK</v>
      </c>
      <c r="C87" s="7" t="str">
        <f t="array" ref="C87">IFERROR(INDEX(Mapping!$B$2:$B$22,MATCH('Bank Statement Export'!B87,Mapping!$A$2:$A$22,0)),INDEX(Table3[Category],MATCH(TRUE,ISNUMBER(SEARCH(Table3[Unique ID Contains],B87)),0)))</f>
        <v>Payroll</v>
      </c>
      <c r="D87" s="7" t="str">
        <f>INDEX('Forecast 1'!$B$9:$B$56,MATCH('Bank Statement Export'!C87,'Forecast 1'!$B$9:$B$56,0))</f>
        <v>Payroll</v>
      </c>
      <c r="E87" s="14">
        <v>86</v>
      </c>
      <c r="F87" s="10">
        <v>45226</v>
      </c>
      <c r="G87" s="9">
        <v>79826</v>
      </c>
      <c r="H87" s="9" t="s">
        <v>16</v>
      </c>
      <c r="I87" s="11">
        <v>-1050</v>
      </c>
      <c r="J87" s="11">
        <v>241270</v>
      </c>
    </row>
    <row r="88" spans="1:10" x14ac:dyDescent="0.2">
      <c r="A88" s="8">
        <f t="shared" si="2"/>
        <v>45227</v>
      </c>
      <c r="B88" s="7" t="str">
        <f t="shared" si="3"/>
        <v>87 CHECK</v>
      </c>
      <c r="C88" s="7" t="str">
        <f t="array" ref="C88">IFERROR(INDEX(Mapping!$B$2:$B$22,MATCH('Bank Statement Export'!B88,Mapping!$A$2:$A$22,0)),INDEX(Table3[Category],MATCH(TRUE,ISNUMBER(SEARCH(Table3[Unique ID Contains],B88)),0)))</f>
        <v>Payroll</v>
      </c>
      <c r="D88" s="7" t="str">
        <f>INDEX('Forecast 1'!$B$9:$B$56,MATCH('Bank Statement Export'!C88,'Forecast 1'!$B$9:$B$56,0))</f>
        <v>Payroll</v>
      </c>
      <c r="E88" s="14">
        <v>87</v>
      </c>
      <c r="F88" s="10">
        <v>45226</v>
      </c>
      <c r="G88" s="9">
        <v>79828</v>
      </c>
      <c r="H88" s="9" t="s">
        <v>16</v>
      </c>
      <c r="I88" s="11">
        <v>-1490</v>
      </c>
      <c r="J88" s="11">
        <v>239780</v>
      </c>
    </row>
    <row r="89" spans="1:10" x14ac:dyDescent="0.2">
      <c r="A89" s="8">
        <f t="shared" si="2"/>
        <v>45227</v>
      </c>
      <c r="B89" s="7" t="str">
        <f t="shared" si="3"/>
        <v>88 CHECK</v>
      </c>
      <c r="C89" s="7" t="str">
        <f t="array" ref="C89">IFERROR(INDEX(Mapping!$B$2:$B$22,MATCH('Bank Statement Export'!B89,Mapping!$A$2:$A$22,0)),INDEX(Table3[Category],MATCH(TRUE,ISNUMBER(SEARCH(Table3[Unique ID Contains],B89)),0)))</f>
        <v>Payroll</v>
      </c>
      <c r="D89" s="7" t="str">
        <f>INDEX('Forecast 1'!$B$9:$B$56,MATCH('Bank Statement Export'!C89,'Forecast 1'!$B$9:$B$56,0))</f>
        <v>Payroll</v>
      </c>
      <c r="E89" s="14">
        <v>88</v>
      </c>
      <c r="F89" s="10">
        <v>45226</v>
      </c>
      <c r="G89" s="9">
        <v>79829</v>
      </c>
      <c r="H89" s="9" t="s">
        <v>16</v>
      </c>
      <c r="I89" s="11">
        <v>-940</v>
      </c>
      <c r="J89" s="11">
        <v>238840</v>
      </c>
    </row>
    <row r="90" spans="1:10" x14ac:dyDescent="0.2">
      <c r="A90" s="8">
        <f t="shared" si="2"/>
        <v>45227</v>
      </c>
      <c r="B90" s="7" t="str">
        <f t="shared" si="3"/>
        <v>89 CHECK</v>
      </c>
      <c r="C90" s="7" t="str">
        <f t="array" ref="C90">IFERROR(INDEX(Mapping!$B$2:$B$22,MATCH('Bank Statement Export'!B90,Mapping!$A$2:$A$22,0)),INDEX(Table3[Category],MATCH(TRUE,ISNUMBER(SEARCH(Table3[Unique ID Contains],B90)),0)))</f>
        <v>Payroll</v>
      </c>
      <c r="D90" s="7" t="str">
        <f>INDEX('Forecast 1'!$B$9:$B$56,MATCH('Bank Statement Export'!C90,'Forecast 1'!$B$9:$B$56,0))</f>
        <v>Payroll</v>
      </c>
      <c r="E90" s="14">
        <v>89</v>
      </c>
      <c r="F90" s="10">
        <v>45226</v>
      </c>
      <c r="G90" s="9">
        <v>79830</v>
      </c>
      <c r="H90" s="9" t="s">
        <v>16</v>
      </c>
      <c r="I90" s="11">
        <v>-1230</v>
      </c>
      <c r="J90" s="11">
        <v>237610</v>
      </c>
    </row>
    <row r="91" spans="1:10" x14ac:dyDescent="0.2">
      <c r="A91" s="8">
        <f t="shared" si="2"/>
        <v>45227</v>
      </c>
      <c r="B91" s="7" t="str">
        <f t="shared" si="3"/>
        <v>90 CHECK</v>
      </c>
      <c r="C91" s="7" t="str">
        <f t="array" ref="C91">IFERROR(INDEX(Mapping!$B$2:$B$22,MATCH('Bank Statement Export'!B91,Mapping!$A$2:$A$22,0)),INDEX(Table3[Category],MATCH(TRUE,ISNUMBER(SEARCH(Table3[Unique ID Contains],B91)),0)))</f>
        <v>Payroll</v>
      </c>
      <c r="D91" s="7" t="str">
        <f>INDEX('Forecast 1'!$B$9:$B$56,MATCH('Bank Statement Export'!C91,'Forecast 1'!$B$9:$B$56,0))</f>
        <v>Payroll</v>
      </c>
      <c r="E91" s="14">
        <v>90</v>
      </c>
      <c r="F91" s="10">
        <v>45226</v>
      </c>
      <c r="G91" s="9">
        <v>79832</v>
      </c>
      <c r="H91" s="9" t="s">
        <v>16</v>
      </c>
      <c r="I91" s="11">
        <v>-1160</v>
      </c>
      <c r="J91" s="11">
        <v>236450</v>
      </c>
    </row>
    <row r="92" spans="1:10" x14ac:dyDescent="0.2">
      <c r="A92" s="8">
        <f t="shared" si="2"/>
        <v>45227</v>
      </c>
      <c r="B92" s="7" t="str">
        <f t="shared" si="3"/>
        <v>91 CHECK</v>
      </c>
      <c r="C92" s="7" t="str">
        <f t="array" ref="C92">IFERROR(INDEX(Mapping!$B$2:$B$22,MATCH('Bank Statement Export'!B92,Mapping!$A$2:$A$22,0)),INDEX(Table3[Category],MATCH(TRUE,ISNUMBER(SEARCH(Table3[Unique ID Contains],B92)),0)))</f>
        <v>Payroll</v>
      </c>
      <c r="D92" s="7" t="str">
        <f>INDEX('Forecast 1'!$B$9:$B$56,MATCH('Bank Statement Export'!C92,'Forecast 1'!$B$9:$B$56,0))</f>
        <v>Payroll</v>
      </c>
      <c r="E92" s="14">
        <v>91</v>
      </c>
      <c r="F92" s="10">
        <v>45226</v>
      </c>
      <c r="G92" s="9">
        <v>79833</v>
      </c>
      <c r="H92" s="9" t="s">
        <v>16</v>
      </c>
      <c r="I92" s="11">
        <v>-1590</v>
      </c>
      <c r="J92" s="11">
        <v>234860</v>
      </c>
    </row>
    <row r="93" spans="1:10" x14ac:dyDescent="0.2">
      <c r="A93" s="8">
        <f t="shared" si="2"/>
        <v>45227</v>
      </c>
      <c r="B93" s="7" t="str">
        <f t="shared" si="3"/>
        <v>92 CHECK</v>
      </c>
      <c r="C93" s="7" t="str">
        <f t="array" ref="C93">IFERROR(INDEX(Mapping!$B$2:$B$22,MATCH('Bank Statement Export'!B93,Mapping!$A$2:$A$22,0)),INDEX(Table3[Category],MATCH(TRUE,ISNUMBER(SEARCH(Table3[Unique ID Contains],B93)),0)))</f>
        <v>Payroll</v>
      </c>
      <c r="D93" s="7" t="str">
        <f>INDEX('Forecast 1'!$B$9:$B$56,MATCH('Bank Statement Export'!C93,'Forecast 1'!$B$9:$B$56,0))</f>
        <v>Payroll</v>
      </c>
      <c r="E93" s="14">
        <v>92</v>
      </c>
      <c r="F93" s="10">
        <v>45226</v>
      </c>
      <c r="G93" s="9">
        <v>79834</v>
      </c>
      <c r="H93" s="9" t="s">
        <v>16</v>
      </c>
      <c r="I93" s="11">
        <v>-1790</v>
      </c>
      <c r="J93" s="11">
        <v>233070</v>
      </c>
    </row>
    <row r="94" spans="1:10" x14ac:dyDescent="0.2">
      <c r="A94" s="8">
        <f t="shared" si="2"/>
        <v>45227</v>
      </c>
      <c r="B94" s="7" t="str">
        <f t="shared" si="3"/>
        <v>93 CHECK</v>
      </c>
      <c r="C94" s="7" t="str">
        <f t="array" ref="C94">IFERROR(INDEX(Mapping!$B$2:$B$22,MATCH('Bank Statement Export'!B94,Mapping!$A$2:$A$22,0)),INDEX(Table3[Category],MATCH(TRUE,ISNUMBER(SEARCH(Table3[Unique ID Contains],B94)),0)))</f>
        <v>Payroll</v>
      </c>
      <c r="D94" s="7" t="str">
        <f>INDEX('Forecast 1'!$B$9:$B$56,MATCH('Bank Statement Export'!C94,'Forecast 1'!$B$9:$B$56,0))</f>
        <v>Payroll</v>
      </c>
      <c r="E94" s="14">
        <v>93</v>
      </c>
      <c r="F94" s="10">
        <v>45226</v>
      </c>
      <c r="G94" s="9">
        <v>79835</v>
      </c>
      <c r="H94" s="9" t="s">
        <v>16</v>
      </c>
      <c r="I94" s="11">
        <v>-1360</v>
      </c>
      <c r="J94" s="11">
        <v>231710</v>
      </c>
    </row>
    <row r="95" spans="1:10" x14ac:dyDescent="0.2">
      <c r="A95" s="8">
        <f t="shared" si="2"/>
        <v>45227</v>
      </c>
      <c r="B95" s="7" t="str">
        <f t="shared" si="3"/>
        <v>94 CHECK</v>
      </c>
      <c r="C95" s="7" t="str">
        <f t="array" ref="C95">IFERROR(INDEX(Mapping!$B$2:$B$22,MATCH('Bank Statement Export'!B95,Mapping!$A$2:$A$22,0)),INDEX(Table3[Category],MATCH(TRUE,ISNUMBER(SEARCH(Table3[Unique ID Contains],B95)),0)))</f>
        <v>Payroll</v>
      </c>
      <c r="D95" s="7" t="str">
        <f>INDEX('Forecast 1'!$B$9:$B$56,MATCH('Bank Statement Export'!C95,'Forecast 1'!$B$9:$B$56,0))</f>
        <v>Payroll</v>
      </c>
      <c r="E95" s="14">
        <v>94</v>
      </c>
      <c r="F95" s="10">
        <v>45226</v>
      </c>
      <c r="G95" s="9">
        <v>79836</v>
      </c>
      <c r="H95" s="9" t="s">
        <v>16</v>
      </c>
      <c r="I95" s="11">
        <v>-1490</v>
      </c>
      <c r="J95" s="11">
        <v>230220</v>
      </c>
    </row>
    <row r="96" spans="1:10" x14ac:dyDescent="0.2">
      <c r="A96" s="8">
        <f t="shared" si="2"/>
        <v>45227</v>
      </c>
      <c r="B96" s="7" t="str">
        <f t="shared" si="3"/>
        <v>95 CHECK</v>
      </c>
      <c r="C96" s="7" t="str">
        <f t="array" ref="C96">IFERROR(INDEX(Mapping!$B$2:$B$22,MATCH('Bank Statement Export'!B96,Mapping!$A$2:$A$22,0)),INDEX(Table3[Category],MATCH(TRUE,ISNUMBER(SEARCH(Table3[Unique ID Contains],B96)),0)))</f>
        <v>Payroll</v>
      </c>
      <c r="D96" s="7" t="str">
        <f>INDEX('Forecast 1'!$B$9:$B$56,MATCH('Bank Statement Export'!C96,'Forecast 1'!$B$9:$B$56,0))</f>
        <v>Payroll</v>
      </c>
      <c r="E96" s="14">
        <v>95</v>
      </c>
      <c r="F96" s="10">
        <v>45226</v>
      </c>
      <c r="G96" s="9">
        <v>79837</v>
      </c>
      <c r="H96" s="9" t="s">
        <v>16</v>
      </c>
      <c r="I96" s="11">
        <v>-690</v>
      </c>
      <c r="J96" s="11">
        <v>229530</v>
      </c>
    </row>
    <row r="97" spans="1:10" x14ac:dyDescent="0.2">
      <c r="A97" s="8">
        <f t="shared" si="2"/>
        <v>45227</v>
      </c>
      <c r="B97" s="7" t="str">
        <f t="shared" si="3"/>
        <v>96 CHECK</v>
      </c>
      <c r="C97" s="7" t="str">
        <f t="array" ref="C97">IFERROR(INDEX(Mapping!$B$2:$B$22,MATCH('Bank Statement Export'!B97,Mapping!$A$2:$A$22,0)),INDEX(Table3[Category],MATCH(TRUE,ISNUMBER(SEARCH(Table3[Unique ID Contains],B97)),0)))</f>
        <v>Payroll</v>
      </c>
      <c r="D97" s="7" t="str">
        <f>INDEX('Forecast 1'!$B$9:$B$56,MATCH('Bank Statement Export'!C97,'Forecast 1'!$B$9:$B$56,0))</f>
        <v>Payroll</v>
      </c>
      <c r="E97" s="14">
        <v>96</v>
      </c>
      <c r="F97" s="10">
        <v>45226</v>
      </c>
      <c r="G97" s="9">
        <v>79839</v>
      </c>
      <c r="H97" s="9" t="s">
        <v>16</v>
      </c>
      <c r="I97" s="11">
        <v>-1160</v>
      </c>
      <c r="J97" s="11">
        <v>228370</v>
      </c>
    </row>
    <row r="98" spans="1:10" x14ac:dyDescent="0.2">
      <c r="A98" s="8">
        <f t="shared" si="2"/>
        <v>45227</v>
      </c>
      <c r="B98" s="7" t="str">
        <f t="shared" si="3"/>
        <v>97 CHECK</v>
      </c>
      <c r="C98" s="7" t="str">
        <f t="array" ref="C98">IFERROR(INDEX(Mapping!$B$2:$B$22,MATCH('Bank Statement Export'!B98,Mapping!$A$2:$A$22,0)),INDEX(Table3[Category],MATCH(TRUE,ISNUMBER(SEARCH(Table3[Unique ID Contains],B98)),0)))</f>
        <v>Payroll</v>
      </c>
      <c r="D98" s="7" t="str">
        <f>INDEX('Forecast 1'!$B$9:$B$56,MATCH('Bank Statement Export'!C98,'Forecast 1'!$B$9:$B$56,0))</f>
        <v>Payroll</v>
      </c>
      <c r="E98" s="14">
        <v>97</v>
      </c>
      <c r="F98" s="10">
        <v>45226</v>
      </c>
      <c r="G98" s="9">
        <v>79840</v>
      </c>
      <c r="H98" s="9" t="s">
        <v>16</v>
      </c>
      <c r="I98" s="11">
        <v>-1410</v>
      </c>
      <c r="J98" s="11">
        <v>226960</v>
      </c>
    </row>
    <row r="99" spans="1:10" x14ac:dyDescent="0.2">
      <c r="A99" s="8">
        <f t="shared" si="2"/>
        <v>45227</v>
      </c>
      <c r="B99" s="7" t="str">
        <f t="shared" si="3"/>
        <v>98 CHECK</v>
      </c>
      <c r="C99" s="7" t="str">
        <f t="array" ref="C99">IFERROR(INDEX(Mapping!$B$2:$B$22,MATCH('Bank Statement Export'!B99,Mapping!$A$2:$A$22,0)),INDEX(Table3[Category],MATCH(TRUE,ISNUMBER(SEARCH(Table3[Unique ID Contains],B99)),0)))</f>
        <v>Payroll</v>
      </c>
      <c r="D99" s="7" t="str">
        <f>INDEX('Forecast 1'!$B$9:$B$56,MATCH('Bank Statement Export'!C99,'Forecast 1'!$B$9:$B$56,0))</f>
        <v>Payroll</v>
      </c>
      <c r="E99" s="14">
        <v>98</v>
      </c>
      <c r="F99" s="10">
        <v>45226</v>
      </c>
      <c r="G99" s="9">
        <v>79841</v>
      </c>
      <c r="H99" s="9" t="s">
        <v>16</v>
      </c>
      <c r="I99" s="11">
        <v>-1560</v>
      </c>
      <c r="J99" s="11">
        <v>225400</v>
      </c>
    </row>
    <row r="100" spans="1:10" x14ac:dyDescent="0.2">
      <c r="A100" s="8">
        <f t="shared" si="2"/>
        <v>45227</v>
      </c>
      <c r="B100" s="7" t="str">
        <f t="shared" si="3"/>
        <v>99 CHECK</v>
      </c>
      <c r="C100" s="7" t="str">
        <f t="array" ref="C100">IFERROR(INDEX(Mapping!$B$2:$B$22,MATCH('Bank Statement Export'!B100,Mapping!$A$2:$A$22,0)),INDEX(Table3[Category],MATCH(TRUE,ISNUMBER(SEARCH(Table3[Unique ID Contains],B100)),0)))</f>
        <v>Payroll</v>
      </c>
      <c r="D100" s="7" t="str">
        <f>INDEX('Forecast 1'!$B$9:$B$56,MATCH('Bank Statement Export'!C100,'Forecast 1'!$B$9:$B$56,0))</f>
        <v>Payroll</v>
      </c>
      <c r="E100" s="14">
        <v>99</v>
      </c>
      <c r="F100" s="10">
        <v>45226</v>
      </c>
      <c r="G100" s="9">
        <v>79844</v>
      </c>
      <c r="H100" s="9" t="s">
        <v>16</v>
      </c>
      <c r="I100" s="11">
        <v>-1300</v>
      </c>
      <c r="J100" s="11">
        <v>224100</v>
      </c>
    </row>
    <row r="101" spans="1:10" x14ac:dyDescent="0.2">
      <c r="A101" s="8">
        <f t="shared" si="2"/>
        <v>45227</v>
      </c>
      <c r="B101" s="7" t="str">
        <f t="shared" si="3"/>
        <v>100 CHECK</v>
      </c>
      <c r="C101" s="7" t="str">
        <f t="array" ref="C101">IFERROR(INDEX(Mapping!$B$2:$B$22,MATCH('Bank Statement Export'!B101,Mapping!$A$2:$A$22,0)),INDEX(Table3[Category],MATCH(TRUE,ISNUMBER(SEARCH(Table3[Unique ID Contains],B101)),0)))</f>
        <v>Payroll</v>
      </c>
      <c r="D101" s="7" t="str">
        <f>INDEX('Forecast 1'!$B$9:$B$56,MATCH('Bank Statement Export'!C101,'Forecast 1'!$B$9:$B$56,0))</f>
        <v>Payroll</v>
      </c>
      <c r="E101" s="14">
        <v>100</v>
      </c>
      <c r="F101" s="10">
        <v>45226</v>
      </c>
      <c r="G101" s="9">
        <v>79845</v>
      </c>
      <c r="H101" s="9" t="s">
        <v>16</v>
      </c>
      <c r="I101" s="11">
        <v>-1890</v>
      </c>
      <c r="J101" s="11">
        <v>222210</v>
      </c>
    </row>
    <row r="102" spans="1:10" x14ac:dyDescent="0.2">
      <c r="A102" s="8">
        <f t="shared" si="2"/>
        <v>45227</v>
      </c>
      <c r="B102" s="7" t="str">
        <f t="shared" si="3"/>
        <v>101 CHECK</v>
      </c>
      <c r="C102" s="7" t="str">
        <f t="array" ref="C102">IFERROR(INDEX(Mapping!$B$2:$B$22,MATCH('Bank Statement Export'!B102,Mapping!$A$2:$A$22,0)),INDEX(Table3[Category],MATCH(TRUE,ISNUMBER(SEARCH(Table3[Unique ID Contains],B102)),0)))</f>
        <v>Payroll</v>
      </c>
      <c r="D102" s="7" t="str">
        <f>INDEX('Forecast 1'!$B$9:$B$56,MATCH('Bank Statement Export'!C102,'Forecast 1'!$B$9:$B$56,0))</f>
        <v>Payroll</v>
      </c>
      <c r="E102" s="14">
        <v>101</v>
      </c>
      <c r="F102" s="10">
        <v>45226</v>
      </c>
      <c r="G102" s="9">
        <v>79847</v>
      </c>
      <c r="H102" s="9" t="s">
        <v>16</v>
      </c>
      <c r="I102" s="11">
        <v>-1500</v>
      </c>
      <c r="J102" s="11">
        <v>220710</v>
      </c>
    </row>
    <row r="103" spans="1:10" x14ac:dyDescent="0.2">
      <c r="A103" s="8">
        <f t="shared" si="2"/>
        <v>45227</v>
      </c>
      <c r="B103" s="7" t="str">
        <f t="shared" si="3"/>
        <v>102 CHECK</v>
      </c>
      <c r="C103" s="7" t="str">
        <f t="array" ref="C103">IFERROR(INDEX(Mapping!$B$2:$B$22,MATCH('Bank Statement Export'!B103,Mapping!$A$2:$A$22,0)),INDEX(Table3[Category],MATCH(TRUE,ISNUMBER(SEARCH(Table3[Unique ID Contains],B103)),0)))</f>
        <v>Payroll</v>
      </c>
      <c r="D103" s="7" t="str">
        <f>INDEX('Forecast 1'!$B$9:$B$56,MATCH('Bank Statement Export'!C103,'Forecast 1'!$B$9:$B$56,0))</f>
        <v>Payroll</v>
      </c>
      <c r="E103" s="14">
        <v>102</v>
      </c>
      <c r="F103" s="10">
        <v>45226</v>
      </c>
      <c r="G103" s="9">
        <v>79848</v>
      </c>
      <c r="H103" s="9" t="s">
        <v>16</v>
      </c>
      <c r="I103" s="11">
        <v>-1420</v>
      </c>
      <c r="J103" s="11">
        <v>219290</v>
      </c>
    </row>
    <row r="104" spans="1:10" x14ac:dyDescent="0.2">
      <c r="A104" s="8">
        <f t="shared" si="2"/>
        <v>45227</v>
      </c>
      <c r="B104" s="7" t="str">
        <f t="shared" si="3"/>
        <v>103 CHECK</v>
      </c>
      <c r="C104" s="7" t="str">
        <f t="array" ref="C104">IFERROR(INDEX(Mapping!$B$2:$B$22,MATCH('Bank Statement Export'!B104,Mapping!$A$2:$A$22,0)),INDEX(Table3[Category],MATCH(TRUE,ISNUMBER(SEARCH(Table3[Unique ID Contains],B104)),0)))</f>
        <v>Payroll</v>
      </c>
      <c r="D104" s="7" t="str">
        <f>INDEX('Forecast 1'!$B$9:$B$56,MATCH('Bank Statement Export'!C104,'Forecast 1'!$B$9:$B$56,0))</f>
        <v>Payroll</v>
      </c>
      <c r="E104" s="14">
        <v>103</v>
      </c>
      <c r="F104" s="10">
        <v>45226</v>
      </c>
      <c r="G104" s="9">
        <v>79849</v>
      </c>
      <c r="H104" s="9" t="s">
        <v>16</v>
      </c>
      <c r="I104" s="11">
        <v>-1160</v>
      </c>
      <c r="J104" s="11">
        <v>218130</v>
      </c>
    </row>
    <row r="105" spans="1:10" x14ac:dyDescent="0.2">
      <c r="A105" s="8">
        <f t="shared" si="2"/>
        <v>45227</v>
      </c>
      <c r="B105" s="7" t="str">
        <f t="shared" si="3"/>
        <v>104 CHECK</v>
      </c>
      <c r="C105" s="7" t="str">
        <f t="array" ref="C105">IFERROR(INDEX(Mapping!$B$2:$B$22,MATCH('Bank Statement Export'!B105,Mapping!$A$2:$A$22,0)),INDEX(Table3[Category],MATCH(TRUE,ISNUMBER(SEARCH(Table3[Unique ID Contains],B105)),0)))</f>
        <v>Payroll</v>
      </c>
      <c r="D105" s="7" t="str">
        <f>INDEX('Forecast 1'!$B$9:$B$56,MATCH('Bank Statement Export'!C105,'Forecast 1'!$B$9:$B$56,0))</f>
        <v>Payroll</v>
      </c>
      <c r="E105" s="14">
        <v>104</v>
      </c>
      <c r="F105" s="10">
        <v>45226</v>
      </c>
      <c r="G105" s="9">
        <v>79850</v>
      </c>
      <c r="H105" s="9" t="s">
        <v>16</v>
      </c>
      <c r="I105" s="11">
        <v>-1400</v>
      </c>
      <c r="J105" s="11">
        <v>216730</v>
      </c>
    </row>
    <row r="106" spans="1:10" x14ac:dyDescent="0.2">
      <c r="A106" s="8">
        <f t="shared" si="2"/>
        <v>45227</v>
      </c>
      <c r="B106" s="7" t="str">
        <f t="shared" si="3"/>
        <v>105 CHECK</v>
      </c>
      <c r="C106" s="7" t="str">
        <f t="array" ref="C106">IFERROR(INDEX(Mapping!$B$2:$B$22,MATCH('Bank Statement Export'!B106,Mapping!$A$2:$A$22,0)),INDEX(Table3[Category],MATCH(TRUE,ISNUMBER(SEARCH(Table3[Unique ID Contains],B106)),0)))</f>
        <v>Payroll</v>
      </c>
      <c r="D106" s="7" t="str">
        <f>INDEX('Forecast 1'!$B$9:$B$56,MATCH('Bank Statement Export'!C106,'Forecast 1'!$B$9:$B$56,0))</f>
        <v>Payroll</v>
      </c>
      <c r="E106" s="14">
        <v>105</v>
      </c>
      <c r="F106" s="10">
        <v>45226</v>
      </c>
      <c r="G106" s="9">
        <v>79851</v>
      </c>
      <c r="H106" s="9" t="s">
        <v>16</v>
      </c>
      <c r="I106" s="11">
        <v>-1260</v>
      </c>
      <c r="J106" s="11">
        <v>215470</v>
      </c>
    </row>
    <row r="107" spans="1:10" x14ac:dyDescent="0.2">
      <c r="A107" s="8">
        <f t="shared" si="2"/>
        <v>45227</v>
      </c>
      <c r="B107" s="7" t="str">
        <f t="shared" si="3"/>
        <v>106 CHECK</v>
      </c>
      <c r="C107" s="7" t="str">
        <f t="array" ref="C107">IFERROR(INDEX(Mapping!$B$2:$B$22,MATCH('Bank Statement Export'!B107,Mapping!$A$2:$A$22,0)),INDEX(Table3[Category],MATCH(TRUE,ISNUMBER(SEARCH(Table3[Unique ID Contains],B107)),0)))</f>
        <v>Payroll</v>
      </c>
      <c r="D107" s="7" t="str">
        <f>INDEX('Forecast 1'!$B$9:$B$56,MATCH('Bank Statement Export'!C107,'Forecast 1'!$B$9:$B$56,0))</f>
        <v>Payroll</v>
      </c>
      <c r="E107" s="14">
        <v>106</v>
      </c>
      <c r="F107" s="10">
        <v>45226</v>
      </c>
      <c r="G107" s="9">
        <v>79854</v>
      </c>
      <c r="H107" s="9" t="s">
        <v>16</v>
      </c>
      <c r="I107" s="11">
        <v>-1400</v>
      </c>
      <c r="J107" s="11">
        <v>214070</v>
      </c>
    </row>
    <row r="108" spans="1:10" x14ac:dyDescent="0.2">
      <c r="A108" s="8">
        <f t="shared" si="2"/>
        <v>45227</v>
      </c>
      <c r="B108" s="7" t="str">
        <f t="shared" si="3"/>
        <v>107 CHECK</v>
      </c>
      <c r="C108" s="7" t="str">
        <f t="array" ref="C108">IFERROR(INDEX(Mapping!$B$2:$B$22,MATCH('Bank Statement Export'!B108,Mapping!$A$2:$A$22,0)),INDEX(Table3[Category],MATCH(TRUE,ISNUMBER(SEARCH(Table3[Unique ID Contains],B108)),0)))</f>
        <v>Payroll</v>
      </c>
      <c r="D108" s="7" t="str">
        <f>INDEX('Forecast 1'!$B$9:$B$56,MATCH('Bank Statement Export'!C108,'Forecast 1'!$B$9:$B$56,0))</f>
        <v>Payroll</v>
      </c>
      <c r="E108" s="14">
        <v>107</v>
      </c>
      <c r="F108" s="10">
        <v>45226</v>
      </c>
      <c r="G108" s="9">
        <v>79855</v>
      </c>
      <c r="H108" s="9" t="s">
        <v>16</v>
      </c>
      <c r="I108" s="11">
        <v>-1310</v>
      </c>
      <c r="J108" s="11">
        <v>212760</v>
      </c>
    </row>
    <row r="109" spans="1:10" x14ac:dyDescent="0.2">
      <c r="A109" s="8">
        <f t="shared" si="2"/>
        <v>45227</v>
      </c>
      <c r="B109" s="7" t="str">
        <f t="shared" si="3"/>
        <v>108 CHECK</v>
      </c>
      <c r="C109" s="7" t="str">
        <f t="array" ref="C109">IFERROR(INDEX(Mapping!$B$2:$B$22,MATCH('Bank Statement Export'!B109,Mapping!$A$2:$A$22,0)),INDEX(Table3[Category],MATCH(TRUE,ISNUMBER(SEARCH(Table3[Unique ID Contains],B109)),0)))</f>
        <v>Payroll</v>
      </c>
      <c r="D109" s="7" t="str">
        <f>INDEX('Forecast 1'!$B$9:$B$56,MATCH('Bank Statement Export'!C109,'Forecast 1'!$B$9:$B$56,0))</f>
        <v>Payroll</v>
      </c>
      <c r="E109" s="14">
        <v>108</v>
      </c>
      <c r="F109" s="10">
        <v>45226</v>
      </c>
      <c r="G109" s="9">
        <v>79856</v>
      </c>
      <c r="H109" s="9" t="s">
        <v>16</v>
      </c>
      <c r="I109" s="11">
        <v>-1350</v>
      </c>
      <c r="J109" s="11">
        <v>211410</v>
      </c>
    </row>
    <row r="110" spans="1:10" x14ac:dyDescent="0.2">
      <c r="A110" s="8">
        <f t="shared" si="2"/>
        <v>45227</v>
      </c>
      <c r="B110" s="7" t="str">
        <f t="shared" si="3"/>
        <v>109 CHECK</v>
      </c>
      <c r="C110" s="7" t="str">
        <f t="array" ref="C110">IFERROR(INDEX(Mapping!$B$2:$B$22,MATCH('Bank Statement Export'!B110,Mapping!$A$2:$A$22,0)),INDEX(Table3[Category],MATCH(TRUE,ISNUMBER(SEARCH(Table3[Unique ID Contains],B110)),0)))</f>
        <v>Payroll</v>
      </c>
      <c r="D110" s="7" t="str">
        <f>INDEX('Forecast 1'!$B$9:$B$56,MATCH('Bank Statement Export'!C110,'Forecast 1'!$B$9:$B$56,0))</f>
        <v>Payroll</v>
      </c>
      <c r="E110" s="14">
        <v>109</v>
      </c>
      <c r="F110" s="10">
        <v>45226</v>
      </c>
      <c r="G110" s="9">
        <v>79858</v>
      </c>
      <c r="H110" s="9" t="s">
        <v>16</v>
      </c>
      <c r="I110" s="11">
        <v>-1200</v>
      </c>
      <c r="J110" s="11">
        <v>210210</v>
      </c>
    </row>
    <row r="111" spans="1:10" x14ac:dyDescent="0.2">
      <c r="A111" s="8">
        <f t="shared" si="2"/>
        <v>45234</v>
      </c>
      <c r="B111" s="7" t="str">
        <f t="shared" si="3"/>
        <v>110 WEB AUTHORIZED PMT KRYPTONIX</v>
      </c>
      <c r="C111" s="7" t="str">
        <f t="array" ref="C111">IFERROR(INDEX(Mapping!$B$2:$B$22,MATCH('Bank Statement Export'!B111,Mapping!$A$2:$A$22,0)),INDEX(Table3[Category],MATCH(TRUE,ISNUMBER(SEARCH(Table3[Unique ID Contains],B111)),0)))</f>
        <v>Dues &amp; Subscriptions</v>
      </c>
      <c r="D111" s="7" t="str">
        <f>INDEX('Forecast 1'!$B$9:$B$56,MATCH('Bank Statement Export'!C111,'Forecast 1'!$B$9:$B$56,0))</f>
        <v>Dues &amp; Subscriptions</v>
      </c>
      <c r="E111" s="14">
        <v>110</v>
      </c>
      <c r="F111" s="10">
        <v>45229</v>
      </c>
      <c r="G111" s="9" t="s">
        <v>14</v>
      </c>
      <c r="H111" s="9" t="s">
        <v>15</v>
      </c>
      <c r="I111" s="11">
        <v>-80</v>
      </c>
      <c r="J111" s="11">
        <v>210130</v>
      </c>
    </row>
    <row r="112" spans="1:10" x14ac:dyDescent="0.2">
      <c r="A112" s="8">
        <f t="shared" si="2"/>
        <v>45234</v>
      </c>
      <c r="B112" s="7" t="str">
        <f t="shared" si="3"/>
        <v>111 WEB AUTHORIZED PMT KRYPTONIX</v>
      </c>
      <c r="C112" s="7" t="str">
        <f t="array" ref="C112">IFERROR(INDEX(Mapping!$B$2:$B$22,MATCH('Bank Statement Export'!B112,Mapping!$A$2:$A$22,0)),INDEX(Table3[Category],MATCH(TRUE,ISNUMBER(SEARCH(Table3[Unique ID Contains],B112)),0)))</f>
        <v>Dues &amp; Subscriptions</v>
      </c>
      <c r="D112" s="7" t="str">
        <f>INDEX('Forecast 1'!$B$9:$B$56,MATCH('Bank Statement Export'!C112,'Forecast 1'!$B$9:$B$56,0))</f>
        <v>Dues &amp; Subscriptions</v>
      </c>
      <c r="E112" s="14">
        <v>111</v>
      </c>
      <c r="F112" s="10">
        <v>45229</v>
      </c>
      <c r="G112" s="9" t="s">
        <v>14</v>
      </c>
      <c r="H112" s="9" t="s">
        <v>15</v>
      </c>
      <c r="I112" s="11">
        <v>-230</v>
      </c>
      <c r="J112" s="11">
        <v>209900</v>
      </c>
    </row>
    <row r="113" spans="1:10" x14ac:dyDescent="0.2">
      <c r="A113" s="8">
        <f t="shared" si="2"/>
        <v>45234</v>
      </c>
      <c r="B113" s="7" t="str">
        <f t="shared" si="3"/>
        <v>112 ELECTRONIC WITHDRAWAL FRACTALIX</v>
      </c>
      <c r="C113" s="7" t="str">
        <f t="array" ref="C113">IFERROR(INDEX(Mapping!$B$2:$B$22,MATCH('Bank Statement Export'!B113,Mapping!$A$2:$A$22,0)),INDEX(Table3[Category],MATCH(TRUE,ISNUMBER(SEARCH(Table3[Unique ID Contains],B113)),0)))</f>
        <v>Lease Payments</v>
      </c>
      <c r="D113" s="7" t="str">
        <f>INDEX('Forecast 1'!$B$9:$B$56,MATCH('Bank Statement Export'!C113,'Forecast 1'!$B$9:$B$56,0))</f>
        <v>Lease Payments</v>
      </c>
      <c r="E113" s="14">
        <v>112</v>
      </c>
      <c r="F113" s="10">
        <v>45229</v>
      </c>
      <c r="G113" s="9" t="s">
        <v>14</v>
      </c>
      <c r="H113" s="9" t="s">
        <v>23</v>
      </c>
      <c r="I113" s="11">
        <v>-1350</v>
      </c>
      <c r="J113" s="11">
        <v>208550</v>
      </c>
    </row>
    <row r="114" spans="1:10" x14ac:dyDescent="0.2">
      <c r="A114" s="8">
        <f t="shared" si="2"/>
        <v>45234</v>
      </c>
      <c r="B114" s="7" t="str">
        <f t="shared" si="3"/>
        <v>113 CHECK</v>
      </c>
      <c r="C114" s="7" t="str">
        <f t="array" ref="C114">IFERROR(INDEX(Mapping!$B$2:$B$22,MATCH('Bank Statement Export'!B114,Mapping!$A$2:$A$22,0)),INDEX(Table3[Category],MATCH(TRUE,ISNUMBER(SEARCH(Table3[Unique ID Contains],B114)),0)))</f>
        <v>Payroll</v>
      </c>
      <c r="D114" s="7" t="str">
        <f>INDEX('Forecast 1'!$B$9:$B$56,MATCH('Bank Statement Export'!C114,'Forecast 1'!$B$9:$B$56,0))</f>
        <v>Payroll</v>
      </c>
      <c r="E114" s="14">
        <v>113</v>
      </c>
      <c r="F114" s="10">
        <v>45229</v>
      </c>
      <c r="G114" s="9">
        <v>79735</v>
      </c>
      <c r="H114" s="9" t="s">
        <v>16</v>
      </c>
      <c r="I114" s="11">
        <v>-1130</v>
      </c>
      <c r="J114" s="11">
        <v>207420</v>
      </c>
    </row>
    <row r="115" spans="1:10" x14ac:dyDescent="0.2">
      <c r="A115" s="8">
        <f t="shared" si="2"/>
        <v>45234</v>
      </c>
      <c r="B115" s="7" t="str">
        <f t="shared" si="3"/>
        <v>114 CHECK</v>
      </c>
      <c r="C115" s="7" t="str">
        <f t="array" ref="C115">IFERROR(INDEX(Mapping!$B$2:$B$22,MATCH('Bank Statement Export'!B115,Mapping!$A$2:$A$22,0)),INDEX(Table3[Category],MATCH(TRUE,ISNUMBER(SEARCH(Table3[Unique ID Contains],B115)),0)))</f>
        <v>Payroll</v>
      </c>
      <c r="D115" s="7" t="str">
        <f>INDEX('Forecast 1'!$B$9:$B$56,MATCH('Bank Statement Export'!C115,'Forecast 1'!$B$9:$B$56,0))</f>
        <v>Payroll</v>
      </c>
      <c r="E115" s="14">
        <v>114</v>
      </c>
      <c r="F115" s="10">
        <v>45229</v>
      </c>
      <c r="G115" s="9">
        <v>79808</v>
      </c>
      <c r="H115" s="9" t="s">
        <v>16</v>
      </c>
      <c r="I115" s="11">
        <v>-100</v>
      </c>
      <c r="J115" s="11">
        <v>207320</v>
      </c>
    </row>
    <row r="116" spans="1:10" x14ac:dyDescent="0.2">
      <c r="A116" s="8">
        <f t="shared" si="2"/>
        <v>45234</v>
      </c>
      <c r="B116" s="7" t="str">
        <f t="shared" si="3"/>
        <v>115 CHECK</v>
      </c>
      <c r="C116" s="7" t="str">
        <f t="array" ref="C116">IFERROR(INDEX(Mapping!$B$2:$B$22,MATCH('Bank Statement Export'!B116,Mapping!$A$2:$A$22,0)),INDEX(Table3[Category],MATCH(TRUE,ISNUMBER(SEARCH(Table3[Unique ID Contains],B116)),0)))</f>
        <v>Payroll</v>
      </c>
      <c r="D116" s="7" t="str">
        <f>INDEX('Forecast 1'!$B$9:$B$56,MATCH('Bank Statement Export'!C116,'Forecast 1'!$B$9:$B$56,0))</f>
        <v>Payroll</v>
      </c>
      <c r="E116" s="14">
        <v>115</v>
      </c>
      <c r="F116" s="10">
        <v>45229</v>
      </c>
      <c r="G116" s="9">
        <v>79812</v>
      </c>
      <c r="H116" s="9" t="s">
        <v>16</v>
      </c>
      <c r="I116" s="11">
        <v>-1210</v>
      </c>
      <c r="J116" s="11">
        <v>206110</v>
      </c>
    </row>
    <row r="117" spans="1:10" x14ac:dyDescent="0.2">
      <c r="A117" s="8">
        <f t="shared" si="2"/>
        <v>45234</v>
      </c>
      <c r="B117" s="7" t="str">
        <f t="shared" si="3"/>
        <v>116 CHECK</v>
      </c>
      <c r="C117" s="7" t="str">
        <f t="array" ref="C117">IFERROR(INDEX(Mapping!$B$2:$B$22,MATCH('Bank Statement Export'!B117,Mapping!$A$2:$A$22,0)),INDEX(Table3[Category],MATCH(TRUE,ISNUMBER(SEARCH(Table3[Unique ID Contains],B117)),0)))</f>
        <v>Payroll</v>
      </c>
      <c r="D117" s="7" t="str">
        <f>INDEX('Forecast 1'!$B$9:$B$56,MATCH('Bank Statement Export'!C117,'Forecast 1'!$B$9:$B$56,0))</f>
        <v>Payroll</v>
      </c>
      <c r="E117" s="14">
        <v>116</v>
      </c>
      <c r="F117" s="10">
        <v>45229</v>
      </c>
      <c r="G117" s="9">
        <v>79820</v>
      </c>
      <c r="H117" s="9" t="s">
        <v>16</v>
      </c>
      <c r="I117" s="11">
        <v>-1190</v>
      </c>
      <c r="J117" s="11">
        <v>204920</v>
      </c>
    </row>
    <row r="118" spans="1:10" x14ac:dyDescent="0.2">
      <c r="A118" s="8">
        <f t="shared" si="2"/>
        <v>45234</v>
      </c>
      <c r="B118" s="7" t="str">
        <f t="shared" si="3"/>
        <v>117 CHECK</v>
      </c>
      <c r="C118" s="7" t="str">
        <f t="array" ref="C118">IFERROR(INDEX(Mapping!$B$2:$B$22,MATCH('Bank Statement Export'!B118,Mapping!$A$2:$A$22,0)),INDEX(Table3[Category],MATCH(TRUE,ISNUMBER(SEARCH(Table3[Unique ID Contains],B118)),0)))</f>
        <v>Payroll</v>
      </c>
      <c r="D118" s="7" t="str">
        <f>INDEX('Forecast 1'!$B$9:$B$56,MATCH('Bank Statement Export'!C118,'Forecast 1'!$B$9:$B$56,0))</f>
        <v>Payroll</v>
      </c>
      <c r="E118" s="14">
        <v>117</v>
      </c>
      <c r="F118" s="10">
        <v>45229</v>
      </c>
      <c r="G118" s="9">
        <v>79827</v>
      </c>
      <c r="H118" s="9" t="s">
        <v>16</v>
      </c>
      <c r="I118" s="11">
        <v>-1770</v>
      </c>
      <c r="J118" s="11">
        <v>203150</v>
      </c>
    </row>
    <row r="119" spans="1:10" x14ac:dyDescent="0.2">
      <c r="A119" s="8">
        <f t="shared" si="2"/>
        <v>45234</v>
      </c>
      <c r="B119" s="7" t="str">
        <f t="shared" si="3"/>
        <v>118 CHECK</v>
      </c>
      <c r="C119" s="7" t="str">
        <f t="array" ref="C119">IFERROR(INDEX(Mapping!$B$2:$B$22,MATCH('Bank Statement Export'!B119,Mapping!$A$2:$A$22,0)),INDEX(Table3[Category],MATCH(TRUE,ISNUMBER(SEARCH(Table3[Unique ID Contains],B119)),0)))</f>
        <v>Payroll</v>
      </c>
      <c r="D119" s="7" t="str">
        <f>INDEX('Forecast 1'!$B$9:$B$56,MATCH('Bank Statement Export'!C119,'Forecast 1'!$B$9:$B$56,0))</f>
        <v>Payroll</v>
      </c>
      <c r="E119" s="14">
        <v>118</v>
      </c>
      <c r="F119" s="10">
        <v>45229</v>
      </c>
      <c r="G119" s="9">
        <v>79846</v>
      </c>
      <c r="H119" s="9" t="s">
        <v>16</v>
      </c>
      <c r="I119" s="11">
        <v>-990</v>
      </c>
      <c r="J119" s="11">
        <v>202160</v>
      </c>
    </row>
    <row r="120" spans="1:10" x14ac:dyDescent="0.2">
      <c r="A120" s="8">
        <f t="shared" si="2"/>
        <v>45234</v>
      </c>
      <c r="B120" s="7" t="str">
        <f t="shared" si="3"/>
        <v>119 ELECTRONIC WITHDRAWAL HYPERTECH</v>
      </c>
      <c r="C120" s="7" t="str">
        <f t="array" ref="C120">IFERROR(INDEX(Mapping!$B$2:$B$22,MATCH('Bank Statement Export'!B120,Mapping!$A$2:$A$22,0)),INDEX(Table3[Category],MATCH(TRUE,ISNUMBER(SEARCH(Table3[Unique ID Contains],B120)),0)))</f>
        <v>Marketing</v>
      </c>
      <c r="D120" s="7" t="str">
        <f>INDEX('Forecast 1'!$B$9:$B$56,MATCH('Bank Statement Export'!C120,'Forecast 1'!$B$9:$B$56,0))</f>
        <v>Marketing</v>
      </c>
      <c r="E120" s="14">
        <v>119</v>
      </c>
      <c r="F120" s="10">
        <v>45230</v>
      </c>
      <c r="G120" s="9" t="s">
        <v>14</v>
      </c>
      <c r="H120" s="9" t="s">
        <v>25</v>
      </c>
      <c r="I120" s="11">
        <v>-1510</v>
      </c>
      <c r="J120" s="11">
        <v>200650</v>
      </c>
    </row>
    <row r="121" spans="1:10" x14ac:dyDescent="0.2">
      <c r="A121" s="8">
        <f t="shared" si="2"/>
        <v>45234</v>
      </c>
      <c r="B121" s="7" t="str">
        <f t="shared" si="3"/>
        <v>120 ELECTRONIC WITHDRAWAL IRS</v>
      </c>
      <c r="C121" s="7" t="str">
        <f t="array" ref="C121">IFERROR(INDEX(Mapping!$B$2:$B$22,MATCH('Bank Statement Export'!B121,Mapping!$A$2:$A$22,0)),INDEX(Table3[Category],MATCH(TRUE,ISNUMBER(SEARCH(Table3[Unique ID Contains],B121)),0)))</f>
        <v>Tax Distributions</v>
      </c>
      <c r="D121" s="7" t="str">
        <f>INDEX('Forecast 1'!$B$9:$B$56,MATCH('Bank Statement Export'!C121,'Forecast 1'!$B$9:$B$56,0))</f>
        <v>Tax Distributions</v>
      </c>
      <c r="E121" s="14">
        <v>120</v>
      </c>
      <c r="F121" s="10">
        <v>45230</v>
      </c>
      <c r="G121" s="9" t="s">
        <v>14</v>
      </c>
      <c r="H121" s="9" t="s">
        <v>21</v>
      </c>
      <c r="I121" s="11">
        <v>-1140</v>
      </c>
      <c r="J121" s="11">
        <v>199510</v>
      </c>
    </row>
    <row r="122" spans="1:10" x14ac:dyDescent="0.2">
      <c r="A122" s="8">
        <f t="shared" si="2"/>
        <v>45234</v>
      </c>
      <c r="B122" s="7" t="str">
        <f t="shared" si="3"/>
        <v>121 CHECK</v>
      </c>
      <c r="C122" s="7" t="str">
        <f t="array" ref="C122">IFERROR(INDEX(Mapping!$B$2:$B$22,MATCH('Bank Statement Export'!B122,Mapping!$A$2:$A$22,0)),INDEX(Table3[Category],MATCH(TRUE,ISNUMBER(SEARCH(Table3[Unique ID Contains],B122)),0)))</f>
        <v>Payroll</v>
      </c>
      <c r="D122" s="7" t="str">
        <f>INDEX('Forecast 1'!$B$9:$B$56,MATCH('Bank Statement Export'!C122,'Forecast 1'!$B$9:$B$56,0))</f>
        <v>Payroll</v>
      </c>
      <c r="E122" s="14">
        <v>121</v>
      </c>
      <c r="F122" s="10">
        <v>45230</v>
      </c>
      <c r="G122" s="9">
        <v>79721</v>
      </c>
      <c r="H122" s="9" t="s">
        <v>16</v>
      </c>
      <c r="I122" s="11">
        <v>-600</v>
      </c>
      <c r="J122" s="11">
        <v>198910</v>
      </c>
    </row>
    <row r="123" spans="1:10" x14ac:dyDescent="0.2">
      <c r="A123" s="8">
        <f t="shared" si="2"/>
        <v>45234</v>
      </c>
      <c r="B123" s="7" t="str">
        <f t="shared" si="3"/>
        <v>122 ELECTRONIC DEPOSIT ZONIX</v>
      </c>
      <c r="C123" s="7" t="str">
        <f t="array" ref="C123">IFERROR(INDEX(Mapping!$B$2:$B$22,MATCH('Bank Statement Export'!B123,Mapping!$A$2:$A$22,0)),INDEX(Table3[Category],MATCH(TRUE,ISNUMBER(SEARCH(Table3[Unique ID Contains],B123)),0)))</f>
        <v xml:space="preserve">  Invoice Revenue Receipts</v>
      </c>
      <c r="D123" s="7" t="str">
        <f>INDEX('Forecast 1'!$B$9:$B$56,MATCH('Bank Statement Export'!C123,'Forecast 1'!$B$9:$B$56,0))</f>
        <v xml:space="preserve">  Invoice Revenue Receipts</v>
      </c>
      <c r="E123" s="14">
        <v>122</v>
      </c>
      <c r="F123" s="10">
        <v>45231</v>
      </c>
      <c r="G123" s="9" t="s">
        <v>17</v>
      </c>
      <c r="H123" s="9" t="s">
        <v>26</v>
      </c>
      <c r="I123" s="11">
        <v>131830</v>
      </c>
      <c r="J123" s="11">
        <v>330740</v>
      </c>
    </row>
    <row r="124" spans="1:10" x14ac:dyDescent="0.2">
      <c r="A124" s="8">
        <f t="shared" si="2"/>
        <v>45234</v>
      </c>
      <c r="B124" s="7" t="str">
        <f t="shared" si="3"/>
        <v>123 ELECTRONIC WITHDRAWAL GLOWTECH</v>
      </c>
      <c r="C124" s="7" t="str">
        <f t="array" ref="C124">IFERROR(INDEX(Mapping!$B$2:$B$22,MATCH('Bank Statement Export'!B124,Mapping!$A$2:$A$22,0)),INDEX(Table3[Category],MATCH(TRUE,ISNUMBER(SEARCH(Table3[Unique ID Contains],B124)),0)))</f>
        <v>Technology</v>
      </c>
      <c r="D124" s="7" t="str">
        <f>INDEX('Forecast 1'!$B$9:$B$56,MATCH('Bank Statement Export'!C124,'Forecast 1'!$B$9:$B$56,0))</f>
        <v>Technology</v>
      </c>
      <c r="E124" s="14">
        <v>123</v>
      </c>
      <c r="F124" s="10">
        <v>45231</v>
      </c>
      <c r="G124" s="9" t="s">
        <v>14</v>
      </c>
      <c r="H124" s="9" t="s">
        <v>19</v>
      </c>
      <c r="I124" s="11">
        <v>-1150</v>
      </c>
      <c r="J124" s="11">
        <v>329590</v>
      </c>
    </row>
    <row r="125" spans="1:10" x14ac:dyDescent="0.2">
      <c r="A125" s="8">
        <f t="shared" si="2"/>
        <v>45234</v>
      </c>
      <c r="B125" s="7" t="str">
        <f t="shared" si="3"/>
        <v>124 WEB AUTHORIZED PMT LUCENTIX</v>
      </c>
      <c r="C125" s="7" t="str">
        <f t="array" ref="C125">IFERROR(INDEX(Mapping!$B$2:$B$22,MATCH('Bank Statement Export'!B125,Mapping!$A$2:$A$22,0)),INDEX(Table3[Category],MATCH(TRUE,ISNUMBER(SEARCH(Table3[Unique ID Contains],B125)),0)))</f>
        <v>Vehicles</v>
      </c>
      <c r="D125" s="7" t="str">
        <f>INDEX('Forecast 1'!$B$9:$B$56,MATCH('Bank Statement Export'!C125,'Forecast 1'!$B$9:$B$56,0))</f>
        <v>Vehicles</v>
      </c>
      <c r="E125" s="14">
        <v>124</v>
      </c>
      <c r="F125" s="10">
        <v>45231</v>
      </c>
      <c r="G125" s="9" t="s">
        <v>14</v>
      </c>
      <c r="H125" s="9" t="s">
        <v>27</v>
      </c>
      <c r="I125" s="11">
        <v>-4480</v>
      </c>
      <c r="J125" s="11">
        <v>325110</v>
      </c>
    </row>
    <row r="126" spans="1:10" x14ac:dyDescent="0.2">
      <c r="A126" s="8">
        <f t="shared" si="2"/>
        <v>45234</v>
      </c>
      <c r="B126" s="7" t="str">
        <f t="shared" si="3"/>
        <v>125 ELECTRONIC WITHDRAWAL IRS</v>
      </c>
      <c r="C126" s="7" t="str">
        <f t="array" ref="C126">IFERROR(INDEX(Mapping!$B$2:$B$22,MATCH('Bank Statement Export'!B126,Mapping!$A$2:$A$22,0)),INDEX(Table3[Category],MATCH(TRUE,ISNUMBER(SEARCH(Table3[Unique ID Contains],B126)),0)))</f>
        <v>Tax Distributions</v>
      </c>
      <c r="D126" s="7" t="str">
        <f>INDEX('Forecast 1'!$B$9:$B$56,MATCH('Bank Statement Export'!C126,'Forecast 1'!$B$9:$B$56,0))</f>
        <v>Tax Distributions</v>
      </c>
      <c r="E126" s="14">
        <v>125</v>
      </c>
      <c r="F126" s="10">
        <v>45231</v>
      </c>
      <c r="G126" s="9" t="s">
        <v>14</v>
      </c>
      <c r="H126" s="9" t="s">
        <v>21</v>
      </c>
      <c r="I126" s="11">
        <v>-19800</v>
      </c>
      <c r="J126" s="11">
        <v>305310</v>
      </c>
    </row>
    <row r="127" spans="1:10" x14ac:dyDescent="0.2">
      <c r="A127" s="8">
        <f t="shared" si="2"/>
        <v>45234</v>
      </c>
      <c r="B127" s="7" t="str">
        <f t="shared" si="3"/>
        <v>126 ELECTRONIC WITHDRAWAL STATE DMV</v>
      </c>
      <c r="C127" s="7" t="str">
        <f t="array" ref="C127">IFERROR(INDEX(Mapping!$B$2:$B$22,MATCH('Bank Statement Export'!B127,Mapping!$A$2:$A$22,0)),INDEX(Table3[Category],MATCH(TRUE,ISNUMBER(SEARCH(Table3[Unique ID Contains],B127)),0)))</f>
        <v>Vehicles</v>
      </c>
      <c r="D127" s="7" t="str">
        <f>INDEX('Forecast 1'!$B$9:$B$56,MATCH('Bank Statement Export'!C127,'Forecast 1'!$B$9:$B$56,0))</f>
        <v>Vehicles</v>
      </c>
      <c r="E127" s="14">
        <v>126</v>
      </c>
      <c r="F127" s="10">
        <v>45231</v>
      </c>
      <c r="G127" s="9" t="s">
        <v>14</v>
      </c>
      <c r="H127" s="9" t="s">
        <v>28</v>
      </c>
      <c r="I127" s="11">
        <v>-300</v>
      </c>
      <c r="J127" s="11">
        <v>305010</v>
      </c>
    </row>
    <row r="128" spans="1:10" x14ac:dyDescent="0.2">
      <c r="A128" s="8">
        <f t="shared" si="2"/>
        <v>45234</v>
      </c>
      <c r="B128" s="7" t="str">
        <f t="shared" si="3"/>
        <v>127 ELECTRONIC WITHDRAWAL STATE DMV</v>
      </c>
      <c r="C128" s="7" t="str">
        <f t="array" ref="C128">IFERROR(INDEX(Mapping!$B$2:$B$22,MATCH('Bank Statement Export'!B128,Mapping!$A$2:$A$22,0)),INDEX(Table3[Category],MATCH(TRUE,ISNUMBER(SEARCH(Table3[Unique ID Contains],B128)),0)))</f>
        <v>Vehicles</v>
      </c>
      <c r="D128" s="7" t="str">
        <f>INDEX('Forecast 1'!$B$9:$B$56,MATCH('Bank Statement Export'!C128,'Forecast 1'!$B$9:$B$56,0))</f>
        <v>Vehicles</v>
      </c>
      <c r="E128" s="14">
        <v>127</v>
      </c>
      <c r="F128" s="10">
        <v>45231</v>
      </c>
      <c r="G128" s="9" t="s">
        <v>14</v>
      </c>
      <c r="H128" s="9" t="s">
        <v>28</v>
      </c>
      <c r="I128" s="11">
        <v>-2880</v>
      </c>
      <c r="J128" s="11">
        <v>302130</v>
      </c>
    </row>
    <row r="129" spans="1:10" x14ac:dyDescent="0.2">
      <c r="A129" s="8">
        <f t="shared" si="2"/>
        <v>45234</v>
      </c>
      <c r="B129" s="7" t="str">
        <f t="shared" si="3"/>
        <v>128 DEPOSIT</v>
      </c>
      <c r="C129" s="7" t="str">
        <f t="array" ref="C129">IFERROR(INDEX(Mapping!$B$2:$B$22,MATCH('Bank Statement Export'!B129,Mapping!$A$2:$A$22,0)),INDEX(Table3[Category],MATCH(TRUE,ISNUMBER(SEARCH(Table3[Unique ID Contains],B129)),0)))</f>
        <v xml:space="preserve">  Invoice Revenue Receipts</v>
      </c>
      <c r="D129" s="7" t="str">
        <f>INDEX('Forecast 1'!$B$9:$B$56,MATCH('Bank Statement Export'!C129,'Forecast 1'!$B$9:$B$56,0))</f>
        <v xml:space="preserve">  Invoice Revenue Receipts</v>
      </c>
      <c r="E129" s="14">
        <v>128</v>
      </c>
      <c r="F129" s="10">
        <v>45232</v>
      </c>
      <c r="G129" s="9" t="s">
        <v>17</v>
      </c>
      <c r="H129" s="9" t="s">
        <v>18</v>
      </c>
      <c r="I129" s="11">
        <v>122750</v>
      </c>
      <c r="J129" s="11">
        <v>424880</v>
      </c>
    </row>
    <row r="130" spans="1:10" x14ac:dyDescent="0.2">
      <c r="A130" s="8">
        <f t="shared" si="2"/>
        <v>45234</v>
      </c>
      <c r="B130" s="7" t="str">
        <f t="shared" si="3"/>
        <v>129 DEPOSIT</v>
      </c>
      <c r="C130" s="7" t="str">
        <f t="array" ref="C130">IFERROR(INDEX(Mapping!$B$2:$B$22,MATCH('Bank Statement Export'!B130,Mapping!$A$2:$A$22,0)),INDEX(Table3[Category],MATCH(TRUE,ISNUMBER(SEARCH(Table3[Unique ID Contains],B130)),0)))</f>
        <v xml:space="preserve">  Invoice Revenue Receipts</v>
      </c>
      <c r="D130" s="7" t="str">
        <f>INDEX('Forecast 1'!$B$9:$B$56,MATCH('Bank Statement Export'!C130,'Forecast 1'!$B$9:$B$56,0))</f>
        <v xml:space="preserve">  Invoice Revenue Receipts</v>
      </c>
      <c r="E130" s="14">
        <v>129</v>
      </c>
      <c r="F130" s="10">
        <v>45232</v>
      </c>
      <c r="G130" s="9" t="s">
        <v>17</v>
      </c>
      <c r="H130" s="9" t="s">
        <v>18</v>
      </c>
      <c r="I130" s="11">
        <v>71280</v>
      </c>
      <c r="J130" s="11">
        <v>496160</v>
      </c>
    </row>
    <row r="131" spans="1:10" x14ac:dyDescent="0.2">
      <c r="A131" s="8">
        <f t="shared" ref="A131:A194" si="4">F131+7-WEEKDAY(F131)</f>
        <v>45234</v>
      </c>
      <c r="B131" s="7" t="str">
        <f t="shared" ref="B131:B194" si="5">CONCATENATE(E131," ",H131)</f>
        <v>130 ELECTRONIC WITHDRAWAL BLITZIX</v>
      </c>
      <c r="C131" s="7" t="str">
        <f t="array" ref="C131">IFERROR(INDEX(Mapping!$B$2:$B$22,MATCH('Bank Statement Export'!B131,Mapping!$A$2:$A$22,0)),INDEX(Table3[Category],MATCH(TRUE,ISNUMBER(SEARCH(Table3[Unique ID Contains],B131)),0)))</f>
        <v>Other Operating Outflows</v>
      </c>
      <c r="D131" s="7" t="str">
        <f>INDEX('Forecast 1'!$B$9:$B$56,MATCH('Bank Statement Export'!C131,'Forecast 1'!$B$9:$B$56,0))</f>
        <v>Other Operating Outflows</v>
      </c>
      <c r="E131" s="14">
        <v>130</v>
      </c>
      <c r="F131" s="10">
        <v>45232</v>
      </c>
      <c r="G131" s="9" t="s">
        <v>14</v>
      </c>
      <c r="H131" s="9" t="s">
        <v>29</v>
      </c>
      <c r="I131" s="11">
        <v>-1780</v>
      </c>
      <c r="J131" s="11">
        <v>494380</v>
      </c>
    </row>
    <row r="132" spans="1:10" x14ac:dyDescent="0.2">
      <c r="A132" s="8">
        <f t="shared" si="4"/>
        <v>45234</v>
      </c>
      <c r="B132" s="7" t="str">
        <f t="shared" si="5"/>
        <v>131 ELECTRONIC WITHDRAWAL STATE DEPT REVENUE</v>
      </c>
      <c r="C132" s="7" t="str">
        <f t="array" ref="C132">IFERROR(INDEX(Mapping!$B$2:$B$22,MATCH('Bank Statement Export'!B132,Mapping!$A$2:$A$22,0)),INDEX(Table3[Category],MATCH(TRUE,ISNUMBER(SEARCH(Table3[Unique ID Contains],B132)),0)))</f>
        <v>Tax Distributions</v>
      </c>
      <c r="D132" s="7" t="str">
        <f>INDEX('Forecast 1'!$B$9:$B$56,MATCH('Bank Statement Export'!C132,'Forecast 1'!$B$9:$B$56,0))</f>
        <v>Tax Distributions</v>
      </c>
      <c r="E132" s="14">
        <v>131</v>
      </c>
      <c r="F132" s="10">
        <v>45232</v>
      </c>
      <c r="G132" s="9" t="s">
        <v>14</v>
      </c>
      <c r="H132" s="9" t="s">
        <v>20</v>
      </c>
      <c r="I132" s="11">
        <v>-3800</v>
      </c>
      <c r="J132" s="11">
        <v>490580</v>
      </c>
    </row>
    <row r="133" spans="1:10" x14ac:dyDescent="0.2">
      <c r="A133" s="8">
        <f t="shared" si="4"/>
        <v>45234</v>
      </c>
      <c r="B133" s="7" t="str">
        <f t="shared" si="5"/>
        <v>132 ELECTRONIC WITHDRAWAL CAPITALONE</v>
      </c>
      <c r="C133" s="7" t="str">
        <f t="array" ref="C133">IFERROR(INDEX(Mapping!$B$2:$B$22,MATCH('Bank Statement Export'!B133,Mapping!$A$2:$A$22,0)),INDEX(Table3[Category],MATCH(TRUE,ISNUMBER(SEARCH(Table3[Unique ID Contains],B133)),0)))</f>
        <v>Credit Cards</v>
      </c>
      <c r="D133" s="7" t="str">
        <f>INDEX('Forecast 1'!$B$9:$B$56,MATCH('Bank Statement Export'!C133,'Forecast 1'!$B$9:$B$56,0))</f>
        <v>Credit Cards</v>
      </c>
      <c r="E133" s="14">
        <v>132</v>
      </c>
      <c r="F133" s="10">
        <v>45232</v>
      </c>
      <c r="G133" s="9" t="s">
        <v>14</v>
      </c>
      <c r="H133" s="9" t="s">
        <v>30</v>
      </c>
      <c r="I133" s="11">
        <v>-6270</v>
      </c>
      <c r="J133" s="11">
        <v>484310</v>
      </c>
    </row>
    <row r="134" spans="1:10" x14ac:dyDescent="0.2">
      <c r="A134" s="8">
        <f t="shared" si="4"/>
        <v>45234</v>
      </c>
      <c r="B134" s="7" t="str">
        <f t="shared" si="5"/>
        <v>133 ELECTRONIC WITHDRAWAL PAYROLL</v>
      </c>
      <c r="C134" s="7" t="str">
        <f t="array" ref="C134">IFERROR(INDEX(Mapping!$B$2:$B$22,MATCH('Bank Statement Export'!B134,Mapping!$A$2:$A$22,0)),INDEX(Table3[Category],MATCH(TRUE,ISNUMBER(SEARCH(Table3[Unique ID Contains],B134)),0)))</f>
        <v>Payroll</v>
      </c>
      <c r="D134" s="7" t="str">
        <f>INDEX('Forecast 1'!$B$9:$B$56,MATCH('Bank Statement Export'!C134,'Forecast 1'!$B$9:$B$56,0))</f>
        <v>Payroll</v>
      </c>
      <c r="E134" s="14">
        <v>133</v>
      </c>
      <c r="F134" s="10">
        <v>45232</v>
      </c>
      <c r="G134" s="9" t="s">
        <v>14</v>
      </c>
      <c r="H134" s="9" t="s">
        <v>22</v>
      </c>
      <c r="I134" s="11">
        <v>-12260</v>
      </c>
      <c r="J134" s="11">
        <v>472050</v>
      </c>
    </row>
    <row r="135" spans="1:10" x14ac:dyDescent="0.2">
      <c r="A135" s="8">
        <f t="shared" si="4"/>
        <v>45234</v>
      </c>
      <c r="B135" s="7" t="str">
        <f t="shared" si="5"/>
        <v>134 ELECTRONIC WITHDRAWAL ETERNIX</v>
      </c>
      <c r="C135" s="7" t="str">
        <f t="array" ref="C135">IFERROR(INDEX(Mapping!$B$2:$B$22,MATCH('Bank Statement Export'!B135,Mapping!$A$2:$A$22,0)),INDEX(Table3[Category],MATCH(TRUE,ISNUMBER(SEARCH(Table3[Unique ID Contains],B135)),0)))</f>
        <v>Professional Fees</v>
      </c>
      <c r="D135" s="7" t="str">
        <f>INDEX('Forecast 1'!$B$9:$B$56,MATCH('Bank Statement Export'!C135,'Forecast 1'!$B$9:$B$56,0))</f>
        <v>Professional Fees</v>
      </c>
      <c r="E135" s="14">
        <v>134</v>
      </c>
      <c r="F135" s="10">
        <v>45232</v>
      </c>
      <c r="G135" s="9" t="s">
        <v>14</v>
      </c>
      <c r="H135" s="9" t="s">
        <v>31</v>
      </c>
      <c r="I135" s="11">
        <v>-5000</v>
      </c>
      <c r="J135" s="11">
        <v>467050</v>
      </c>
    </row>
    <row r="136" spans="1:10" x14ac:dyDescent="0.2">
      <c r="A136" s="8">
        <f t="shared" si="4"/>
        <v>45234</v>
      </c>
      <c r="B136" s="7" t="str">
        <f t="shared" si="5"/>
        <v>135 CHECK</v>
      </c>
      <c r="C136" s="7" t="str">
        <f t="array" ref="C136">IFERROR(INDEX(Mapping!$B$2:$B$22,MATCH('Bank Statement Export'!B136,Mapping!$A$2:$A$22,0)),INDEX(Table3[Category],MATCH(TRUE,ISNUMBER(SEARCH(Table3[Unique ID Contains],B136)),0)))</f>
        <v>Payroll</v>
      </c>
      <c r="D136" s="7" t="str">
        <f>INDEX('Forecast 1'!$B$9:$B$56,MATCH('Bank Statement Export'!C136,'Forecast 1'!$B$9:$B$56,0))</f>
        <v>Payroll</v>
      </c>
      <c r="E136" s="14">
        <v>135</v>
      </c>
      <c r="F136" s="10">
        <v>45232</v>
      </c>
      <c r="G136" s="9">
        <v>79770</v>
      </c>
      <c r="H136" s="9" t="s">
        <v>16</v>
      </c>
      <c r="I136" s="11">
        <v>-190</v>
      </c>
      <c r="J136" s="11">
        <v>466860</v>
      </c>
    </row>
    <row r="137" spans="1:10" x14ac:dyDescent="0.2">
      <c r="A137" s="8">
        <f t="shared" si="4"/>
        <v>45234</v>
      </c>
      <c r="B137" s="7" t="str">
        <f t="shared" si="5"/>
        <v>136 CHECK</v>
      </c>
      <c r="C137" s="7" t="str">
        <f t="array" ref="C137">IFERROR(INDEX(Mapping!$B$2:$B$22,MATCH('Bank Statement Export'!B137,Mapping!$A$2:$A$22,0)),INDEX(Table3[Category],MATCH(TRUE,ISNUMBER(SEARCH(Table3[Unique ID Contains],B137)),0)))</f>
        <v>Accounts Payable</v>
      </c>
      <c r="D137" s="7" t="str">
        <f>INDEX('Forecast 1'!$B$9:$B$56,MATCH('Bank Statement Export'!C137,'Forecast 1'!$B$9:$B$56,0))</f>
        <v>Accounts Payable</v>
      </c>
      <c r="E137" s="14">
        <v>136</v>
      </c>
      <c r="F137" s="10">
        <v>45232</v>
      </c>
      <c r="G137" s="9">
        <v>79772</v>
      </c>
      <c r="H137" s="9" t="s">
        <v>16</v>
      </c>
      <c r="I137" s="11">
        <v>-3060</v>
      </c>
      <c r="J137" s="11">
        <v>463800</v>
      </c>
    </row>
    <row r="138" spans="1:10" x14ac:dyDescent="0.2">
      <c r="A138" s="8">
        <f t="shared" si="4"/>
        <v>45234</v>
      </c>
      <c r="B138" s="7" t="str">
        <f t="shared" si="5"/>
        <v>137 CHECK</v>
      </c>
      <c r="C138" s="7" t="str">
        <f t="array" ref="C138">IFERROR(INDEX(Mapping!$B$2:$B$22,MATCH('Bank Statement Export'!B138,Mapping!$A$2:$A$22,0)),INDEX(Table3[Category],MATCH(TRUE,ISNUMBER(SEARCH(Table3[Unique ID Contains],B138)),0)))</f>
        <v>Payroll</v>
      </c>
      <c r="D138" s="7" t="str">
        <f>INDEX('Forecast 1'!$B$9:$B$56,MATCH('Bank Statement Export'!C138,'Forecast 1'!$B$9:$B$56,0))</f>
        <v>Payroll</v>
      </c>
      <c r="E138" s="14">
        <v>137</v>
      </c>
      <c r="F138" s="10">
        <v>45232</v>
      </c>
      <c r="G138" s="9">
        <v>79780</v>
      </c>
      <c r="H138" s="9" t="s">
        <v>16</v>
      </c>
      <c r="I138" s="11">
        <v>-1730</v>
      </c>
      <c r="J138" s="11">
        <v>462070</v>
      </c>
    </row>
    <row r="139" spans="1:10" x14ac:dyDescent="0.2">
      <c r="A139" s="8">
        <f t="shared" si="4"/>
        <v>45234</v>
      </c>
      <c r="B139" s="7" t="str">
        <f t="shared" si="5"/>
        <v>138 CHECK</v>
      </c>
      <c r="C139" s="7" t="str">
        <f t="array" ref="C139">IFERROR(INDEX(Mapping!$B$2:$B$22,MATCH('Bank Statement Export'!B139,Mapping!$A$2:$A$22,0)),INDEX(Table3[Category],MATCH(TRUE,ISNUMBER(SEARCH(Table3[Unique ID Contains],B139)),0)))</f>
        <v>Payroll</v>
      </c>
      <c r="D139" s="7" t="str">
        <f>INDEX('Forecast 1'!$B$9:$B$56,MATCH('Bank Statement Export'!C139,'Forecast 1'!$B$9:$B$56,0))</f>
        <v>Payroll</v>
      </c>
      <c r="E139" s="14">
        <v>138</v>
      </c>
      <c r="F139" s="10">
        <v>45232</v>
      </c>
      <c r="G139" s="9">
        <v>79781</v>
      </c>
      <c r="H139" s="9" t="s">
        <v>16</v>
      </c>
      <c r="I139" s="11">
        <v>-1580</v>
      </c>
      <c r="J139" s="11">
        <v>460490</v>
      </c>
    </row>
    <row r="140" spans="1:10" x14ac:dyDescent="0.2">
      <c r="A140" s="8">
        <f t="shared" si="4"/>
        <v>45234</v>
      </c>
      <c r="B140" s="7" t="str">
        <f t="shared" si="5"/>
        <v>139 CHECK</v>
      </c>
      <c r="C140" s="7" t="str">
        <f t="array" ref="C140">IFERROR(INDEX(Mapping!$B$2:$B$22,MATCH('Bank Statement Export'!B140,Mapping!$A$2:$A$22,0)),INDEX(Table3[Category],MATCH(TRUE,ISNUMBER(SEARCH(Table3[Unique ID Contains],B140)),0)))</f>
        <v>Payroll</v>
      </c>
      <c r="D140" s="7" t="str">
        <f>INDEX('Forecast 1'!$B$9:$B$56,MATCH('Bank Statement Export'!C140,'Forecast 1'!$B$9:$B$56,0))</f>
        <v>Payroll</v>
      </c>
      <c r="E140" s="14">
        <v>139</v>
      </c>
      <c r="F140" s="10">
        <v>45232</v>
      </c>
      <c r="G140" s="9">
        <v>79783</v>
      </c>
      <c r="H140" s="9" t="s">
        <v>16</v>
      </c>
      <c r="I140" s="11">
        <v>-1580</v>
      </c>
      <c r="J140" s="11">
        <v>458910</v>
      </c>
    </row>
    <row r="141" spans="1:10" x14ac:dyDescent="0.2">
      <c r="A141" s="8">
        <f t="shared" si="4"/>
        <v>45234</v>
      </c>
      <c r="B141" s="7" t="str">
        <f t="shared" si="5"/>
        <v>140 CHECK</v>
      </c>
      <c r="C141" s="7" t="str">
        <f t="array" ref="C141">IFERROR(INDEX(Mapping!$B$2:$B$22,MATCH('Bank Statement Export'!B141,Mapping!$A$2:$A$22,0)),INDEX(Table3[Category],MATCH(TRUE,ISNUMBER(SEARCH(Table3[Unique ID Contains],B141)),0)))</f>
        <v>Payroll</v>
      </c>
      <c r="D141" s="7" t="str">
        <f>INDEX('Forecast 1'!$B$9:$B$56,MATCH('Bank Statement Export'!C141,'Forecast 1'!$B$9:$B$56,0))</f>
        <v>Payroll</v>
      </c>
      <c r="E141" s="14">
        <v>140</v>
      </c>
      <c r="F141" s="10">
        <v>45232</v>
      </c>
      <c r="G141" s="9">
        <v>79784</v>
      </c>
      <c r="H141" s="9" t="s">
        <v>16</v>
      </c>
      <c r="I141" s="11">
        <v>-1440</v>
      </c>
      <c r="J141" s="11">
        <v>457470</v>
      </c>
    </row>
    <row r="142" spans="1:10" x14ac:dyDescent="0.2">
      <c r="A142" s="8">
        <f t="shared" si="4"/>
        <v>45234</v>
      </c>
      <c r="B142" s="7" t="str">
        <f t="shared" si="5"/>
        <v>141 CHECK</v>
      </c>
      <c r="C142" s="7" t="str">
        <f t="array" ref="C142">IFERROR(INDEX(Mapping!$B$2:$B$22,MATCH('Bank Statement Export'!B142,Mapping!$A$2:$A$22,0)),INDEX(Table3[Category],MATCH(TRUE,ISNUMBER(SEARCH(Table3[Unique ID Contains],B142)),0)))</f>
        <v>Payroll</v>
      </c>
      <c r="D142" s="7" t="str">
        <f>INDEX('Forecast 1'!$B$9:$B$56,MATCH('Bank Statement Export'!C142,'Forecast 1'!$B$9:$B$56,0))</f>
        <v>Payroll</v>
      </c>
      <c r="E142" s="14">
        <v>141</v>
      </c>
      <c r="F142" s="10">
        <v>45232</v>
      </c>
      <c r="G142" s="9">
        <v>79785</v>
      </c>
      <c r="H142" s="9" t="s">
        <v>16</v>
      </c>
      <c r="I142" s="11">
        <v>-1640</v>
      </c>
      <c r="J142" s="11">
        <v>455830</v>
      </c>
    </row>
    <row r="143" spans="1:10" x14ac:dyDescent="0.2">
      <c r="A143" s="8">
        <f t="shared" si="4"/>
        <v>45234</v>
      </c>
      <c r="B143" s="7" t="str">
        <f t="shared" si="5"/>
        <v>142 CHECK</v>
      </c>
      <c r="C143" s="7" t="str">
        <f t="array" ref="C143">IFERROR(INDEX(Mapping!$B$2:$B$22,MATCH('Bank Statement Export'!B143,Mapping!$A$2:$A$22,0)),INDEX(Table3[Category],MATCH(TRUE,ISNUMBER(SEARCH(Table3[Unique ID Contains],B143)),0)))</f>
        <v>Payroll</v>
      </c>
      <c r="D143" s="7" t="str">
        <f>INDEX('Forecast 1'!$B$9:$B$56,MATCH('Bank Statement Export'!C143,'Forecast 1'!$B$9:$B$56,0))</f>
        <v>Payroll</v>
      </c>
      <c r="E143" s="14">
        <v>142</v>
      </c>
      <c r="F143" s="10">
        <v>45232</v>
      </c>
      <c r="G143" s="9">
        <v>79786</v>
      </c>
      <c r="H143" s="9" t="s">
        <v>16</v>
      </c>
      <c r="I143" s="11">
        <v>-1610</v>
      </c>
      <c r="J143" s="11">
        <v>454220</v>
      </c>
    </row>
    <row r="144" spans="1:10" x14ac:dyDescent="0.2">
      <c r="A144" s="8">
        <f t="shared" si="4"/>
        <v>45234</v>
      </c>
      <c r="B144" s="7" t="str">
        <f t="shared" si="5"/>
        <v>143 CHECK</v>
      </c>
      <c r="C144" s="7" t="str">
        <f t="array" ref="C144">IFERROR(INDEX(Mapping!$B$2:$B$22,MATCH('Bank Statement Export'!B144,Mapping!$A$2:$A$22,0)),INDEX(Table3[Category],MATCH(TRUE,ISNUMBER(SEARCH(Table3[Unique ID Contains],B144)),0)))</f>
        <v>Payroll</v>
      </c>
      <c r="D144" s="7" t="str">
        <f>INDEX('Forecast 1'!$B$9:$B$56,MATCH('Bank Statement Export'!C144,'Forecast 1'!$B$9:$B$56,0))</f>
        <v>Payroll</v>
      </c>
      <c r="E144" s="14">
        <v>143</v>
      </c>
      <c r="F144" s="10">
        <v>45232</v>
      </c>
      <c r="G144" s="9">
        <v>79787</v>
      </c>
      <c r="H144" s="9" t="s">
        <v>16</v>
      </c>
      <c r="I144" s="11">
        <v>-1430</v>
      </c>
      <c r="J144" s="11">
        <v>452790</v>
      </c>
    </row>
    <row r="145" spans="1:10" x14ac:dyDescent="0.2">
      <c r="A145" s="8">
        <f t="shared" si="4"/>
        <v>45234</v>
      </c>
      <c r="B145" s="7" t="str">
        <f t="shared" si="5"/>
        <v>144 CHECK</v>
      </c>
      <c r="C145" s="7" t="str">
        <f t="array" ref="C145">IFERROR(INDEX(Mapping!$B$2:$B$22,MATCH('Bank Statement Export'!B145,Mapping!$A$2:$A$22,0)),INDEX(Table3[Category],MATCH(TRUE,ISNUMBER(SEARCH(Table3[Unique ID Contains],B145)),0)))</f>
        <v>Payroll</v>
      </c>
      <c r="D145" s="7" t="str">
        <f>INDEX('Forecast 1'!$B$9:$B$56,MATCH('Bank Statement Export'!C145,'Forecast 1'!$B$9:$B$56,0))</f>
        <v>Payroll</v>
      </c>
      <c r="E145" s="14">
        <v>144</v>
      </c>
      <c r="F145" s="10">
        <v>45232</v>
      </c>
      <c r="G145" s="9">
        <v>79788</v>
      </c>
      <c r="H145" s="9" t="s">
        <v>16</v>
      </c>
      <c r="I145" s="11">
        <v>-1460</v>
      </c>
      <c r="J145" s="11">
        <v>451330</v>
      </c>
    </row>
    <row r="146" spans="1:10" x14ac:dyDescent="0.2">
      <c r="A146" s="8">
        <f t="shared" si="4"/>
        <v>45234</v>
      </c>
      <c r="B146" s="7" t="str">
        <f t="shared" si="5"/>
        <v>145 CHECK</v>
      </c>
      <c r="C146" s="7" t="str">
        <f t="array" ref="C146">IFERROR(INDEX(Mapping!$B$2:$B$22,MATCH('Bank Statement Export'!B146,Mapping!$A$2:$A$22,0)),INDEX(Table3[Category],MATCH(TRUE,ISNUMBER(SEARCH(Table3[Unique ID Contains],B146)),0)))</f>
        <v>Payroll</v>
      </c>
      <c r="D146" s="7" t="str">
        <f>INDEX('Forecast 1'!$B$9:$B$56,MATCH('Bank Statement Export'!C146,'Forecast 1'!$B$9:$B$56,0))</f>
        <v>Payroll</v>
      </c>
      <c r="E146" s="14">
        <v>145</v>
      </c>
      <c r="F146" s="10">
        <v>45232</v>
      </c>
      <c r="G146" s="9">
        <v>79789</v>
      </c>
      <c r="H146" s="9" t="s">
        <v>16</v>
      </c>
      <c r="I146" s="11">
        <v>-1660</v>
      </c>
      <c r="J146" s="11">
        <v>449670</v>
      </c>
    </row>
    <row r="147" spans="1:10" x14ac:dyDescent="0.2">
      <c r="A147" s="8">
        <f t="shared" si="4"/>
        <v>45234</v>
      </c>
      <c r="B147" s="7" t="str">
        <f t="shared" si="5"/>
        <v>146 DEPOSIT</v>
      </c>
      <c r="C147" s="7" t="str">
        <f t="array" ref="C147">IFERROR(INDEX(Mapping!$B$2:$B$22,MATCH('Bank Statement Export'!B147,Mapping!$A$2:$A$22,0)),INDEX(Table3[Category],MATCH(TRUE,ISNUMBER(SEARCH(Table3[Unique ID Contains],B147)),0)))</f>
        <v xml:space="preserve">  Invoice Revenue Receipts</v>
      </c>
      <c r="D147" s="7" t="str">
        <f>INDEX('Forecast 1'!$B$9:$B$56,MATCH('Bank Statement Export'!C147,'Forecast 1'!$B$9:$B$56,0))</f>
        <v xml:space="preserve">  Invoice Revenue Receipts</v>
      </c>
      <c r="E147" s="14">
        <v>146</v>
      </c>
      <c r="F147" s="10">
        <v>45233</v>
      </c>
      <c r="G147" s="9" t="s">
        <v>17</v>
      </c>
      <c r="H147" s="9" t="s">
        <v>18</v>
      </c>
      <c r="I147" s="11">
        <v>46240</v>
      </c>
      <c r="J147" s="11">
        <v>495910</v>
      </c>
    </row>
    <row r="148" spans="1:10" x14ac:dyDescent="0.2">
      <c r="A148" s="8">
        <f t="shared" si="4"/>
        <v>45234</v>
      </c>
      <c r="B148" s="7" t="str">
        <f t="shared" si="5"/>
        <v>147 ELECTRONIC WITHDRAWAL DYNACORP</v>
      </c>
      <c r="C148" s="7" t="str">
        <f t="array" ref="C148">IFERROR(INDEX(Mapping!$B$2:$B$22,MATCH('Bank Statement Export'!B148,Mapping!$A$2:$A$22,0)),INDEX(Table3[Category],MATCH(TRUE,ISNUMBER(SEARCH(Table3[Unique ID Contains],B148)),0)))</f>
        <v>Other Operating Outflows</v>
      </c>
      <c r="D148" s="7" t="str">
        <f>INDEX('Forecast 1'!$B$9:$B$56,MATCH('Bank Statement Export'!C148,'Forecast 1'!$B$9:$B$56,0))</f>
        <v>Other Operating Outflows</v>
      </c>
      <c r="E148" s="14">
        <v>147</v>
      </c>
      <c r="F148" s="10">
        <v>45233</v>
      </c>
      <c r="G148" s="9" t="s">
        <v>14</v>
      </c>
      <c r="H148" s="9" t="s">
        <v>32</v>
      </c>
      <c r="I148" s="11">
        <v>-790</v>
      </c>
      <c r="J148" s="11">
        <v>495120</v>
      </c>
    </row>
    <row r="149" spans="1:10" x14ac:dyDescent="0.2">
      <c r="A149" s="8">
        <f t="shared" si="4"/>
        <v>45234</v>
      </c>
      <c r="B149" s="7" t="str">
        <f t="shared" si="5"/>
        <v>148 ELECTRONIC WITHDRAWAL IRIDIUMIX</v>
      </c>
      <c r="C149" s="7" t="str">
        <f t="array" ref="C149">IFERROR(INDEX(Mapping!$B$2:$B$22,MATCH('Bank Statement Export'!B149,Mapping!$A$2:$A$22,0)),INDEX(Table3[Category],MATCH(TRUE,ISNUMBER(SEARCH(Table3[Unique ID Contains],B149)),0)))</f>
        <v>Other Non-operating Outflows</v>
      </c>
      <c r="D149" s="7" t="str">
        <f>INDEX('Forecast 1'!$B$9:$B$56,MATCH('Bank Statement Export'!C149,'Forecast 1'!$B$9:$B$56,0))</f>
        <v>Other Non-operating Outflows</v>
      </c>
      <c r="E149" s="14">
        <v>148</v>
      </c>
      <c r="F149" s="10">
        <v>45233</v>
      </c>
      <c r="G149" s="9" t="s">
        <v>14</v>
      </c>
      <c r="H149" s="9" t="s">
        <v>33</v>
      </c>
      <c r="I149" s="11">
        <v>-8580</v>
      </c>
      <c r="J149" s="11">
        <v>486540</v>
      </c>
    </row>
    <row r="150" spans="1:10" x14ac:dyDescent="0.2">
      <c r="A150" s="8">
        <f t="shared" si="4"/>
        <v>45234</v>
      </c>
      <c r="B150" s="7" t="str">
        <f t="shared" si="5"/>
        <v>149 ELECTRONIC WITHDRAWAL DISCOVER</v>
      </c>
      <c r="C150" s="7" t="str">
        <f t="array" ref="C150">IFERROR(INDEX(Mapping!$B$2:$B$22,MATCH('Bank Statement Export'!B150,Mapping!$A$2:$A$22,0)),INDEX(Table3[Category],MATCH(TRUE,ISNUMBER(SEARCH(Table3[Unique ID Contains],B150)),0)))</f>
        <v>Credit Cards</v>
      </c>
      <c r="D150" s="7" t="str">
        <f>INDEX('Forecast 1'!$B$9:$B$56,MATCH('Bank Statement Export'!C150,'Forecast 1'!$B$9:$B$56,0))</f>
        <v>Credit Cards</v>
      </c>
      <c r="E150" s="14">
        <v>149</v>
      </c>
      <c r="F150" s="10">
        <v>45233</v>
      </c>
      <c r="G150" s="9" t="s">
        <v>14</v>
      </c>
      <c r="H150" s="9" t="s">
        <v>34</v>
      </c>
      <c r="I150" s="11">
        <v>-187820</v>
      </c>
      <c r="J150" s="11">
        <v>298720</v>
      </c>
    </row>
    <row r="151" spans="1:10" x14ac:dyDescent="0.2">
      <c r="A151" s="8">
        <f t="shared" si="4"/>
        <v>45234</v>
      </c>
      <c r="B151" s="7" t="str">
        <f t="shared" si="5"/>
        <v>150 CHECK</v>
      </c>
      <c r="C151" s="7" t="str">
        <f t="array" ref="C151">IFERROR(INDEX(Mapping!$B$2:$B$22,MATCH('Bank Statement Export'!B151,Mapping!$A$2:$A$22,0)),INDEX(Table3[Category],MATCH(TRUE,ISNUMBER(SEARCH(Table3[Unique ID Contains],B151)),0)))</f>
        <v>Accounts Payable</v>
      </c>
      <c r="D151" s="7" t="str">
        <f>INDEX('Forecast 1'!$B$9:$B$56,MATCH('Bank Statement Export'!C151,'Forecast 1'!$B$9:$B$56,0))</f>
        <v>Accounts Payable</v>
      </c>
      <c r="E151" s="14">
        <v>150</v>
      </c>
      <c r="F151" s="10">
        <v>45233</v>
      </c>
      <c r="G151" s="9">
        <v>79769</v>
      </c>
      <c r="H151" s="9" t="s">
        <v>16</v>
      </c>
      <c r="I151" s="11">
        <v>-35480</v>
      </c>
      <c r="J151" s="11">
        <v>263240</v>
      </c>
    </row>
    <row r="152" spans="1:10" x14ac:dyDescent="0.2">
      <c r="A152" s="8">
        <f t="shared" si="4"/>
        <v>45234</v>
      </c>
      <c r="B152" s="7" t="str">
        <f t="shared" si="5"/>
        <v>151 CHECK</v>
      </c>
      <c r="C152" s="7" t="str">
        <f t="array" ref="C152">IFERROR(INDEX(Mapping!$B$2:$B$22,MATCH('Bank Statement Export'!B152,Mapping!$A$2:$A$22,0)),INDEX(Table3[Category],MATCH(TRUE,ISNUMBER(SEARCH(Table3[Unique ID Contains],B152)),0)))</f>
        <v>Accounts Payable</v>
      </c>
      <c r="D152" s="7" t="str">
        <f>INDEX('Forecast 1'!$B$9:$B$56,MATCH('Bank Statement Export'!C152,'Forecast 1'!$B$9:$B$56,0))</f>
        <v>Accounts Payable</v>
      </c>
      <c r="E152" s="14">
        <v>151</v>
      </c>
      <c r="F152" s="10">
        <v>45233</v>
      </c>
      <c r="G152" s="9">
        <v>79774</v>
      </c>
      <c r="H152" s="9" t="s">
        <v>16</v>
      </c>
      <c r="I152" s="11">
        <v>-44670</v>
      </c>
      <c r="J152" s="11">
        <v>218570</v>
      </c>
    </row>
    <row r="153" spans="1:10" x14ac:dyDescent="0.2">
      <c r="A153" s="8">
        <f t="shared" si="4"/>
        <v>45234</v>
      </c>
      <c r="B153" s="7" t="str">
        <f t="shared" si="5"/>
        <v>152 CHECK</v>
      </c>
      <c r="C153" s="7" t="str">
        <f t="array" ref="C153">IFERROR(INDEX(Mapping!$B$2:$B$22,MATCH('Bank Statement Export'!B153,Mapping!$A$2:$A$22,0)),INDEX(Table3[Category],MATCH(TRUE,ISNUMBER(SEARCH(Table3[Unique ID Contains],B153)),0)))</f>
        <v>Payroll</v>
      </c>
      <c r="D153" s="7" t="str">
        <f>INDEX('Forecast 1'!$B$9:$B$56,MATCH('Bank Statement Export'!C153,'Forecast 1'!$B$9:$B$56,0))</f>
        <v>Payroll</v>
      </c>
      <c r="E153" s="14">
        <v>152</v>
      </c>
      <c r="F153" s="10">
        <v>45233</v>
      </c>
      <c r="G153" s="9">
        <v>79778</v>
      </c>
      <c r="H153" s="9" t="s">
        <v>16</v>
      </c>
      <c r="I153" s="11">
        <v>-100</v>
      </c>
      <c r="J153" s="11">
        <v>218470</v>
      </c>
    </row>
    <row r="154" spans="1:10" x14ac:dyDescent="0.2">
      <c r="A154" s="8">
        <f t="shared" si="4"/>
        <v>45234</v>
      </c>
      <c r="B154" s="7" t="str">
        <f t="shared" si="5"/>
        <v>153 CHECK</v>
      </c>
      <c r="C154" s="7" t="str">
        <f t="array" ref="C154">IFERROR(INDEX(Mapping!$B$2:$B$22,MATCH('Bank Statement Export'!B154,Mapping!$A$2:$A$22,0)),INDEX(Table3[Category],MATCH(TRUE,ISNUMBER(SEARCH(Table3[Unique ID Contains],B154)),0)))</f>
        <v>Payroll</v>
      </c>
      <c r="D154" s="7" t="str">
        <f>INDEX('Forecast 1'!$B$9:$B$56,MATCH('Bank Statement Export'!C154,'Forecast 1'!$B$9:$B$56,0))</f>
        <v>Payroll</v>
      </c>
      <c r="E154" s="14">
        <v>153</v>
      </c>
      <c r="F154" s="10">
        <v>45233</v>
      </c>
      <c r="G154" s="9">
        <v>79782</v>
      </c>
      <c r="H154" s="9" t="s">
        <v>16</v>
      </c>
      <c r="I154" s="11">
        <v>-1640</v>
      </c>
      <c r="J154" s="11">
        <v>216830</v>
      </c>
    </row>
    <row r="155" spans="1:10" x14ac:dyDescent="0.2">
      <c r="A155" s="8">
        <f t="shared" si="4"/>
        <v>45234</v>
      </c>
      <c r="B155" s="7" t="str">
        <f t="shared" si="5"/>
        <v>154 CHECK</v>
      </c>
      <c r="C155" s="7" t="str">
        <f t="array" ref="C155">IFERROR(INDEX(Mapping!$B$2:$B$22,MATCH('Bank Statement Export'!B155,Mapping!$A$2:$A$22,0)),INDEX(Table3[Category],MATCH(TRUE,ISNUMBER(SEARCH(Table3[Unique ID Contains],B155)),0)))</f>
        <v>Payroll</v>
      </c>
      <c r="D155" s="7" t="str">
        <f>INDEX('Forecast 1'!$B$9:$B$56,MATCH('Bank Statement Export'!C155,'Forecast 1'!$B$9:$B$56,0))</f>
        <v>Payroll</v>
      </c>
      <c r="E155" s="14">
        <v>154</v>
      </c>
      <c r="F155" s="10">
        <v>45233</v>
      </c>
      <c r="G155" s="9">
        <v>79792</v>
      </c>
      <c r="H155" s="9" t="s">
        <v>16</v>
      </c>
      <c r="I155" s="11">
        <v>-200</v>
      </c>
      <c r="J155" s="11">
        <v>216630</v>
      </c>
    </row>
    <row r="156" spans="1:10" x14ac:dyDescent="0.2">
      <c r="A156" s="8">
        <f t="shared" si="4"/>
        <v>45234</v>
      </c>
      <c r="B156" s="7" t="str">
        <f t="shared" si="5"/>
        <v>155 CHECK</v>
      </c>
      <c r="C156" s="7" t="str">
        <f t="array" ref="C156">IFERROR(INDEX(Mapping!$B$2:$B$22,MATCH('Bank Statement Export'!B156,Mapping!$A$2:$A$22,0)),INDEX(Table3[Category],MATCH(TRUE,ISNUMBER(SEARCH(Table3[Unique ID Contains],B156)),0)))</f>
        <v>Payroll</v>
      </c>
      <c r="D156" s="7" t="str">
        <f>INDEX('Forecast 1'!$B$9:$B$56,MATCH('Bank Statement Export'!C156,'Forecast 1'!$B$9:$B$56,0))</f>
        <v>Payroll</v>
      </c>
      <c r="E156" s="14">
        <v>155</v>
      </c>
      <c r="F156" s="10">
        <v>45233</v>
      </c>
      <c r="G156" s="9">
        <v>79793</v>
      </c>
      <c r="H156" s="9" t="s">
        <v>16</v>
      </c>
      <c r="I156" s="11">
        <v>-1260</v>
      </c>
      <c r="J156" s="11">
        <v>215370</v>
      </c>
    </row>
    <row r="157" spans="1:10" x14ac:dyDescent="0.2">
      <c r="A157" s="8">
        <f t="shared" si="4"/>
        <v>45234</v>
      </c>
      <c r="B157" s="7" t="str">
        <f t="shared" si="5"/>
        <v>156 CHECK</v>
      </c>
      <c r="C157" s="7" t="str">
        <f t="array" ref="C157">IFERROR(INDEX(Mapping!$B$2:$B$22,MATCH('Bank Statement Export'!B157,Mapping!$A$2:$A$22,0)),INDEX(Table3[Category],MATCH(TRUE,ISNUMBER(SEARCH(Table3[Unique ID Contains],B157)),0)))</f>
        <v>Payroll</v>
      </c>
      <c r="D157" s="7" t="str">
        <f>INDEX('Forecast 1'!$B$9:$B$56,MATCH('Bank Statement Export'!C157,'Forecast 1'!$B$9:$B$56,0))</f>
        <v>Payroll</v>
      </c>
      <c r="E157" s="14">
        <v>156</v>
      </c>
      <c r="F157" s="10">
        <v>45233</v>
      </c>
      <c r="G157" s="9">
        <v>79794</v>
      </c>
      <c r="H157" s="9" t="s">
        <v>16</v>
      </c>
      <c r="I157" s="11">
        <v>-1400</v>
      </c>
      <c r="J157" s="11">
        <v>213970</v>
      </c>
    </row>
    <row r="158" spans="1:10" x14ac:dyDescent="0.2">
      <c r="A158" s="8">
        <f t="shared" si="4"/>
        <v>45234</v>
      </c>
      <c r="B158" s="7" t="str">
        <f t="shared" si="5"/>
        <v>157 CHECK</v>
      </c>
      <c r="C158" s="7" t="str">
        <f t="array" ref="C158">IFERROR(INDEX(Mapping!$B$2:$B$22,MATCH('Bank Statement Export'!B158,Mapping!$A$2:$A$22,0)),INDEX(Table3[Category],MATCH(TRUE,ISNUMBER(SEARCH(Table3[Unique ID Contains],B158)),0)))</f>
        <v>Payroll</v>
      </c>
      <c r="D158" s="7" t="str">
        <f>INDEX('Forecast 1'!$B$9:$B$56,MATCH('Bank Statement Export'!C158,'Forecast 1'!$B$9:$B$56,0))</f>
        <v>Payroll</v>
      </c>
      <c r="E158" s="14">
        <v>157</v>
      </c>
      <c r="F158" s="10">
        <v>45233</v>
      </c>
      <c r="G158" s="9">
        <v>79821</v>
      </c>
      <c r="H158" s="9" t="s">
        <v>16</v>
      </c>
      <c r="I158" s="11">
        <v>-1020</v>
      </c>
      <c r="J158" s="11">
        <v>212950</v>
      </c>
    </row>
    <row r="159" spans="1:10" x14ac:dyDescent="0.2">
      <c r="A159" s="8">
        <f t="shared" si="4"/>
        <v>45234</v>
      </c>
      <c r="B159" s="7" t="str">
        <f t="shared" si="5"/>
        <v>158 CHECK</v>
      </c>
      <c r="C159" s="7" t="str">
        <f t="array" ref="C159">IFERROR(INDEX(Mapping!$B$2:$B$22,MATCH('Bank Statement Export'!B159,Mapping!$A$2:$A$22,0)),INDEX(Table3[Category],MATCH(TRUE,ISNUMBER(SEARCH(Table3[Unique ID Contains],B159)),0)))</f>
        <v>Payroll</v>
      </c>
      <c r="D159" s="7" t="str">
        <f>INDEX('Forecast 1'!$B$9:$B$56,MATCH('Bank Statement Export'!C159,'Forecast 1'!$B$9:$B$56,0))</f>
        <v>Payroll</v>
      </c>
      <c r="E159" s="14">
        <v>158</v>
      </c>
      <c r="F159" s="10">
        <v>45233</v>
      </c>
      <c r="G159" s="9">
        <v>79842</v>
      </c>
      <c r="H159" s="9" t="s">
        <v>16</v>
      </c>
      <c r="I159" s="11">
        <v>-1210</v>
      </c>
      <c r="J159" s="11">
        <v>211740</v>
      </c>
    </row>
    <row r="160" spans="1:10" x14ac:dyDescent="0.2">
      <c r="A160" s="8">
        <f t="shared" si="4"/>
        <v>45234</v>
      </c>
      <c r="B160" s="7" t="str">
        <f t="shared" si="5"/>
        <v>159 CHECK</v>
      </c>
      <c r="C160" s="7" t="str">
        <f t="array" ref="C160">IFERROR(INDEX(Mapping!$B$2:$B$22,MATCH('Bank Statement Export'!B160,Mapping!$A$2:$A$22,0)),INDEX(Table3[Category],MATCH(TRUE,ISNUMBER(SEARCH(Table3[Unique ID Contains],B160)),0)))</f>
        <v>Payroll</v>
      </c>
      <c r="D160" s="7" t="str">
        <f>INDEX('Forecast 1'!$B$9:$B$56,MATCH('Bank Statement Export'!C160,'Forecast 1'!$B$9:$B$56,0))</f>
        <v>Payroll</v>
      </c>
      <c r="E160" s="14">
        <v>159</v>
      </c>
      <c r="F160" s="10">
        <v>45233</v>
      </c>
      <c r="G160" s="9">
        <v>79859</v>
      </c>
      <c r="H160" s="9" t="s">
        <v>16</v>
      </c>
      <c r="I160" s="11">
        <v>-1090</v>
      </c>
      <c r="J160" s="11">
        <v>210650</v>
      </c>
    </row>
    <row r="161" spans="1:10" x14ac:dyDescent="0.2">
      <c r="A161" s="8">
        <f t="shared" si="4"/>
        <v>45234</v>
      </c>
      <c r="B161" s="7" t="str">
        <f t="shared" si="5"/>
        <v>160 CHECK</v>
      </c>
      <c r="C161" s="7" t="str">
        <f t="array" ref="C161">IFERROR(INDEX(Mapping!$B$2:$B$22,MATCH('Bank Statement Export'!B161,Mapping!$A$2:$A$22,0)),INDEX(Table3[Category],MATCH(TRUE,ISNUMBER(SEARCH(Table3[Unique ID Contains],B161)),0)))</f>
        <v>Payroll</v>
      </c>
      <c r="D161" s="7" t="str">
        <f>INDEX('Forecast 1'!$B$9:$B$56,MATCH('Bank Statement Export'!C161,'Forecast 1'!$B$9:$B$56,0))</f>
        <v>Payroll</v>
      </c>
      <c r="E161" s="14">
        <v>160</v>
      </c>
      <c r="F161" s="10">
        <v>45233</v>
      </c>
      <c r="G161" s="9">
        <v>79860</v>
      </c>
      <c r="H161" s="9" t="s">
        <v>16</v>
      </c>
      <c r="I161" s="11">
        <v>-1240</v>
      </c>
      <c r="J161" s="11">
        <v>209410</v>
      </c>
    </row>
    <row r="162" spans="1:10" x14ac:dyDescent="0.2">
      <c r="A162" s="8">
        <f t="shared" si="4"/>
        <v>45234</v>
      </c>
      <c r="B162" s="7" t="str">
        <f t="shared" si="5"/>
        <v>161 CHECK</v>
      </c>
      <c r="C162" s="7" t="str">
        <f t="array" ref="C162">IFERROR(INDEX(Mapping!$B$2:$B$22,MATCH('Bank Statement Export'!B162,Mapping!$A$2:$A$22,0)),INDEX(Table3[Category],MATCH(TRUE,ISNUMBER(SEARCH(Table3[Unique ID Contains],B162)),0)))</f>
        <v>Payroll</v>
      </c>
      <c r="D162" s="7" t="str">
        <f>INDEX('Forecast 1'!$B$9:$B$56,MATCH('Bank Statement Export'!C162,'Forecast 1'!$B$9:$B$56,0))</f>
        <v>Payroll</v>
      </c>
      <c r="E162" s="14">
        <v>161</v>
      </c>
      <c r="F162" s="10">
        <v>45233</v>
      </c>
      <c r="G162" s="9">
        <v>79861</v>
      </c>
      <c r="H162" s="9" t="s">
        <v>16</v>
      </c>
      <c r="I162" s="11">
        <v>-1230</v>
      </c>
      <c r="J162" s="11">
        <v>208180</v>
      </c>
    </row>
    <row r="163" spans="1:10" x14ac:dyDescent="0.2">
      <c r="A163" s="8">
        <f t="shared" si="4"/>
        <v>45234</v>
      </c>
      <c r="B163" s="7" t="str">
        <f t="shared" si="5"/>
        <v>162 CHECK</v>
      </c>
      <c r="C163" s="7" t="str">
        <f t="array" ref="C163">IFERROR(INDEX(Mapping!$B$2:$B$22,MATCH('Bank Statement Export'!B163,Mapping!$A$2:$A$22,0)),INDEX(Table3[Category],MATCH(TRUE,ISNUMBER(SEARCH(Table3[Unique ID Contains],B163)),0)))</f>
        <v>Payroll</v>
      </c>
      <c r="D163" s="7" t="str">
        <f>INDEX('Forecast 1'!$B$9:$B$56,MATCH('Bank Statement Export'!C163,'Forecast 1'!$B$9:$B$56,0))</f>
        <v>Payroll</v>
      </c>
      <c r="E163" s="14">
        <v>162</v>
      </c>
      <c r="F163" s="10">
        <v>45233</v>
      </c>
      <c r="G163" s="9">
        <v>79862</v>
      </c>
      <c r="H163" s="9" t="s">
        <v>16</v>
      </c>
      <c r="I163" s="11">
        <v>-1880</v>
      </c>
      <c r="J163" s="11">
        <v>206300</v>
      </c>
    </row>
    <row r="164" spans="1:10" x14ac:dyDescent="0.2">
      <c r="A164" s="8">
        <f t="shared" si="4"/>
        <v>45234</v>
      </c>
      <c r="B164" s="7" t="str">
        <f t="shared" si="5"/>
        <v>163 CHECK</v>
      </c>
      <c r="C164" s="7" t="str">
        <f t="array" ref="C164">IFERROR(INDEX(Mapping!$B$2:$B$22,MATCH('Bank Statement Export'!B164,Mapping!$A$2:$A$22,0)),INDEX(Table3[Category],MATCH(TRUE,ISNUMBER(SEARCH(Table3[Unique ID Contains],B164)),0)))</f>
        <v>Payroll</v>
      </c>
      <c r="D164" s="7" t="str">
        <f>INDEX('Forecast 1'!$B$9:$B$56,MATCH('Bank Statement Export'!C164,'Forecast 1'!$B$9:$B$56,0))</f>
        <v>Payroll</v>
      </c>
      <c r="E164" s="14">
        <v>163</v>
      </c>
      <c r="F164" s="10">
        <v>45233</v>
      </c>
      <c r="G164" s="9">
        <v>79863</v>
      </c>
      <c r="H164" s="9" t="s">
        <v>16</v>
      </c>
      <c r="I164" s="11">
        <v>-1450</v>
      </c>
      <c r="J164" s="11">
        <v>204850</v>
      </c>
    </row>
    <row r="165" spans="1:10" x14ac:dyDescent="0.2">
      <c r="A165" s="8">
        <f t="shared" si="4"/>
        <v>45234</v>
      </c>
      <c r="B165" s="7" t="str">
        <f t="shared" si="5"/>
        <v>164 CHECK</v>
      </c>
      <c r="C165" s="7" t="str">
        <f t="array" ref="C165">IFERROR(INDEX(Mapping!$B$2:$B$22,MATCH('Bank Statement Export'!B165,Mapping!$A$2:$A$22,0)),INDEX(Table3[Category],MATCH(TRUE,ISNUMBER(SEARCH(Table3[Unique ID Contains],B165)),0)))</f>
        <v>Payroll</v>
      </c>
      <c r="D165" s="7" t="str">
        <f>INDEX('Forecast 1'!$B$9:$B$56,MATCH('Bank Statement Export'!C165,'Forecast 1'!$B$9:$B$56,0))</f>
        <v>Payroll</v>
      </c>
      <c r="E165" s="14">
        <v>164</v>
      </c>
      <c r="F165" s="10">
        <v>45233</v>
      </c>
      <c r="G165" s="9">
        <v>79864</v>
      </c>
      <c r="H165" s="9" t="s">
        <v>16</v>
      </c>
      <c r="I165" s="11">
        <v>-1190</v>
      </c>
      <c r="J165" s="11">
        <v>203660</v>
      </c>
    </row>
    <row r="166" spans="1:10" x14ac:dyDescent="0.2">
      <c r="A166" s="8">
        <f t="shared" si="4"/>
        <v>45234</v>
      </c>
      <c r="B166" s="7" t="str">
        <f t="shared" si="5"/>
        <v>165 CHECK</v>
      </c>
      <c r="C166" s="7" t="str">
        <f t="array" ref="C166">IFERROR(INDEX(Mapping!$B$2:$B$22,MATCH('Bank Statement Export'!B166,Mapping!$A$2:$A$22,0)),INDEX(Table3[Category],MATCH(TRUE,ISNUMBER(SEARCH(Table3[Unique ID Contains],B166)),0)))</f>
        <v>Payroll</v>
      </c>
      <c r="D166" s="7" t="str">
        <f>INDEX('Forecast 1'!$B$9:$B$56,MATCH('Bank Statement Export'!C166,'Forecast 1'!$B$9:$B$56,0))</f>
        <v>Payroll</v>
      </c>
      <c r="E166" s="14">
        <v>165</v>
      </c>
      <c r="F166" s="10">
        <v>45233</v>
      </c>
      <c r="G166" s="9">
        <v>79865</v>
      </c>
      <c r="H166" s="9" t="s">
        <v>16</v>
      </c>
      <c r="I166" s="11">
        <v>-1380</v>
      </c>
      <c r="J166" s="11">
        <v>202280</v>
      </c>
    </row>
    <row r="167" spans="1:10" x14ac:dyDescent="0.2">
      <c r="A167" s="8">
        <f t="shared" si="4"/>
        <v>45234</v>
      </c>
      <c r="B167" s="7" t="str">
        <f t="shared" si="5"/>
        <v>166 CHECK</v>
      </c>
      <c r="C167" s="7" t="str">
        <f t="array" ref="C167">IFERROR(INDEX(Mapping!$B$2:$B$22,MATCH('Bank Statement Export'!B167,Mapping!$A$2:$A$22,0)),INDEX(Table3[Category],MATCH(TRUE,ISNUMBER(SEARCH(Table3[Unique ID Contains],B167)),0)))</f>
        <v>Payroll</v>
      </c>
      <c r="D167" s="7" t="str">
        <f>INDEX('Forecast 1'!$B$9:$B$56,MATCH('Bank Statement Export'!C167,'Forecast 1'!$B$9:$B$56,0))</f>
        <v>Payroll</v>
      </c>
      <c r="E167" s="14">
        <v>166</v>
      </c>
      <c r="F167" s="10">
        <v>45233</v>
      </c>
      <c r="G167" s="9">
        <v>79866</v>
      </c>
      <c r="H167" s="9" t="s">
        <v>16</v>
      </c>
      <c r="I167" s="11">
        <v>-1270</v>
      </c>
      <c r="J167" s="11">
        <v>201010</v>
      </c>
    </row>
    <row r="168" spans="1:10" x14ac:dyDescent="0.2">
      <c r="A168" s="8">
        <f t="shared" si="4"/>
        <v>45234</v>
      </c>
      <c r="B168" s="7" t="str">
        <f t="shared" si="5"/>
        <v>167 CHECK</v>
      </c>
      <c r="C168" s="7" t="str">
        <f t="array" ref="C168">IFERROR(INDEX(Mapping!$B$2:$B$22,MATCH('Bank Statement Export'!B168,Mapping!$A$2:$A$22,0)),INDEX(Table3[Category],MATCH(TRUE,ISNUMBER(SEARCH(Table3[Unique ID Contains],B168)),0)))</f>
        <v>Payroll</v>
      </c>
      <c r="D168" s="7" t="str">
        <f>INDEX('Forecast 1'!$B$9:$B$56,MATCH('Bank Statement Export'!C168,'Forecast 1'!$B$9:$B$56,0))</f>
        <v>Payroll</v>
      </c>
      <c r="E168" s="14">
        <v>167</v>
      </c>
      <c r="F168" s="10">
        <v>45233</v>
      </c>
      <c r="G168" s="9">
        <v>79867</v>
      </c>
      <c r="H168" s="9" t="s">
        <v>16</v>
      </c>
      <c r="I168" s="11">
        <v>-790</v>
      </c>
      <c r="J168" s="11">
        <v>200220</v>
      </c>
    </row>
    <row r="169" spans="1:10" x14ac:dyDescent="0.2">
      <c r="A169" s="8">
        <f t="shared" si="4"/>
        <v>45234</v>
      </c>
      <c r="B169" s="7" t="str">
        <f t="shared" si="5"/>
        <v>168 CHECK</v>
      </c>
      <c r="C169" s="7" t="str">
        <f t="array" ref="C169">IFERROR(INDEX(Mapping!$B$2:$B$22,MATCH('Bank Statement Export'!B169,Mapping!$A$2:$A$22,0)),INDEX(Table3[Category],MATCH(TRUE,ISNUMBER(SEARCH(Table3[Unique ID Contains],B169)),0)))</f>
        <v>Payroll</v>
      </c>
      <c r="D169" s="7" t="str">
        <f>INDEX('Forecast 1'!$B$9:$B$56,MATCH('Bank Statement Export'!C169,'Forecast 1'!$B$9:$B$56,0))</f>
        <v>Payroll</v>
      </c>
      <c r="E169" s="14">
        <v>168</v>
      </c>
      <c r="F169" s="10">
        <v>45233</v>
      </c>
      <c r="G169" s="9">
        <v>79868</v>
      </c>
      <c r="H169" s="9" t="s">
        <v>16</v>
      </c>
      <c r="I169" s="11">
        <v>-1250</v>
      </c>
      <c r="J169" s="11">
        <v>198970</v>
      </c>
    </row>
    <row r="170" spans="1:10" x14ac:dyDescent="0.2">
      <c r="A170" s="8">
        <f t="shared" si="4"/>
        <v>45234</v>
      </c>
      <c r="B170" s="7" t="str">
        <f t="shared" si="5"/>
        <v>169 CHECK</v>
      </c>
      <c r="C170" s="7" t="str">
        <f t="array" ref="C170">IFERROR(INDEX(Mapping!$B$2:$B$22,MATCH('Bank Statement Export'!B170,Mapping!$A$2:$A$22,0)),INDEX(Table3[Category],MATCH(TRUE,ISNUMBER(SEARCH(Table3[Unique ID Contains],B170)),0)))</f>
        <v>Payroll</v>
      </c>
      <c r="D170" s="7" t="str">
        <f>INDEX('Forecast 1'!$B$9:$B$56,MATCH('Bank Statement Export'!C170,'Forecast 1'!$B$9:$B$56,0))</f>
        <v>Payroll</v>
      </c>
      <c r="E170" s="14">
        <v>169</v>
      </c>
      <c r="F170" s="10">
        <v>45233</v>
      </c>
      <c r="G170" s="9">
        <v>79870</v>
      </c>
      <c r="H170" s="9" t="s">
        <v>16</v>
      </c>
      <c r="I170" s="11">
        <v>-1000</v>
      </c>
      <c r="J170" s="11">
        <v>197970</v>
      </c>
    </row>
    <row r="171" spans="1:10" x14ac:dyDescent="0.2">
      <c r="A171" s="8">
        <f t="shared" si="4"/>
        <v>45234</v>
      </c>
      <c r="B171" s="7" t="str">
        <f t="shared" si="5"/>
        <v>170 CHECK</v>
      </c>
      <c r="C171" s="7" t="str">
        <f t="array" ref="C171">IFERROR(INDEX(Mapping!$B$2:$B$22,MATCH('Bank Statement Export'!B171,Mapping!$A$2:$A$22,0)),INDEX(Table3[Category],MATCH(TRUE,ISNUMBER(SEARCH(Table3[Unique ID Contains],B171)),0)))</f>
        <v>Payroll</v>
      </c>
      <c r="D171" s="7" t="str">
        <f>INDEX('Forecast 1'!$B$9:$B$56,MATCH('Bank Statement Export'!C171,'Forecast 1'!$B$9:$B$56,0))</f>
        <v>Payroll</v>
      </c>
      <c r="E171" s="14">
        <v>170</v>
      </c>
      <c r="F171" s="10">
        <v>45233</v>
      </c>
      <c r="G171" s="9">
        <v>79871</v>
      </c>
      <c r="H171" s="9" t="s">
        <v>16</v>
      </c>
      <c r="I171" s="11">
        <v>-1370</v>
      </c>
      <c r="J171" s="11">
        <v>196600</v>
      </c>
    </row>
    <row r="172" spans="1:10" x14ac:dyDescent="0.2">
      <c r="A172" s="8">
        <f t="shared" si="4"/>
        <v>45234</v>
      </c>
      <c r="B172" s="7" t="str">
        <f t="shared" si="5"/>
        <v>171 CHECK</v>
      </c>
      <c r="C172" s="7" t="str">
        <f t="array" ref="C172">IFERROR(INDEX(Mapping!$B$2:$B$22,MATCH('Bank Statement Export'!B172,Mapping!$A$2:$A$22,0)),INDEX(Table3[Category],MATCH(TRUE,ISNUMBER(SEARCH(Table3[Unique ID Contains],B172)),0)))</f>
        <v>Payroll</v>
      </c>
      <c r="D172" s="7" t="str">
        <f>INDEX('Forecast 1'!$B$9:$B$56,MATCH('Bank Statement Export'!C172,'Forecast 1'!$B$9:$B$56,0))</f>
        <v>Payroll</v>
      </c>
      <c r="E172" s="14">
        <v>171</v>
      </c>
      <c r="F172" s="10">
        <v>45233</v>
      </c>
      <c r="G172" s="9">
        <v>79872</v>
      </c>
      <c r="H172" s="9" t="s">
        <v>16</v>
      </c>
      <c r="I172" s="11">
        <v>-1430</v>
      </c>
      <c r="J172" s="11">
        <v>195170</v>
      </c>
    </row>
    <row r="173" spans="1:10" x14ac:dyDescent="0.2">
      <c r="A173" s="8">
        <f t="shared" si="4"/>
        <v>45234</v>
      </c>
      <c r="B173" s="7" t="str">
        <f t="shared" si="5"/>
        <v>172 CHECK</v>
      </c>
      <c r="C173" s="7" t="str">
        <f t="array" ref="C173">IFERROR(INDEX(Mapping!$B$2:$B$22,MATCH('Bank Statement Export'!B173,Mapping!$A$2:$A$22,0)),INDEX(Table3[Category],MATCH(TRUE,ISNUMBER(SEARCH(Table3[Unique ID Contains],B173)),0)))</f>
        <v>Payroll</v>
      </c>
      <c r="D173" s="7" t="str">
        <f>INDEX('Forecast 1'!$B$9:$B$56,MATCH('Bank Statement Export'!C173,'Forecast 1'!$B$9:$B$56,0))</f>
        <v>Payroll</v>
      </c>
      <c r="E173" s="14">
        <v>172</v>
      </c>
      <c r="F173" s="10">
        <v>45233</v>
      </c>
      <c r="G173" s="9">
        <v>79873</v>
      </c>
      <c r="H173" s="9" t="s">
        <v>16</v>
      </c>
      <c r="I173" s="11">
        <v>-1760</v>
      </c>
      <c r="J173" s="11">
        <v>193410</v>
      </c>
    </row>
    <row r="174" spans="1:10" x14ac:dyDescent="0.2">
      <c r="A174" s="8">
        <f t="shared" si="4"/>
        <v>45234</v>
      </c>
      <c r="B174" s="7" t="str">
        <f t="shared" si="5"/>
        <v>173 CHECK</v>
      </c>
      <c r="C174" s="7" t="str">
        <f t="array" ref="C174">IFERROR(INDEX(Mapping!$B$2:$B$22,MATCH('Bank Statement Export'!B174,Mapping!$A$2:$A$22,0)),INDEX(Table3[Category],MATCH(TRUE,ISNUMBER(SEARCH(Table3[Unique ID Contains],B174)),0)))</f>
        <v>Payroll</v>
      </c>
      <c r="D174" s="7" t="str">
        <f>INDEX('Forecast 1'!$B$9:$B$56,MATCH('Bank Statement Export'!C174,'Forecast 1'!$B$9:$B$56,0))</f>
        <v>Payroll</v>
      </c>
      <c r="E174" s="14">
        <v>173</v>
      </c>
      <c r="F174" s="10">
        <v>45233</v>
      </c>
      <c r="G174" s="9">
        <v>79874</v>
      </c>
      <c r="H174" s="9" t="s">
        <v>16</v>
      </c>
      <c r="I174" s="11">
        <v>-1080</v>
      </c>
      <c r="J174" s="11">
        <v>192330</v>
      </c>
    </row>
    <row r="175" spans="1:10" x14ac:dyDescent="0.2">
      <c r="A175" s="8">
        <f t="shared" si="4"/>
        <v>45234</v>
      </c>
      <c r="B175" s="7" t="str">
        <f t="shared" si="5"/>
        <v>174 CHECK</v>
      </c>
      <c r="C175" s="7" t="str">
        <f t="array" ref="C175">IFERROR(INDEX(Mapping!$B$2:$B$22,MATCH('Bank Statement Export'!B175,Mapping!$A$2:$A$22,0)),INDEX(Table3[Category],MATCH(TRUE,ISNUMBER(SEARCH(Table3[Unique ID Contains],B175)),0)))</f>
        <v>Payroll</v>
      </c>
      <c r="D175" s="7" t="str">
        <f>INDEX('Forecast 1'!$B$9:$B$56,MATCH('Bank Statement Export'!C175,'Forecast 1'!$B$9:$B$56,0))</f>
        <v>Payroll</v>
      </c>
      <c r="E175" s="14">
        <v>174</v>
      </c>
      <c r="F175" s="10">
        <v>45233</v>
      </c>
      <c r="G175" s="9">
        <v>79875</v>
      </c>
      <c r="H175" s="9" t="s">
        <v>16</v>
      </c>
      <c r="I175" s="11">
        <v>-1770</v>
      </c>
      <c r="J175" s="11">
        <v>190560</v>
      </c>
    </row>
    <row r="176" spans="1:10" x14ac:dyDescent="0.2">
      <c r="A176" s="8">
        <f t="shared" si="4"/>
        <v>45234</v>
      </c>
      <c r="B176" s="7" t="str">
        <f t="shared" si="5"/>
        <v>175 CHECK</v>
      </c>
      <c r="C176" s="7" t="str">
        <f t="array" ref="C176">IFERROR(INDEX(Mapping!$B$2:$B$22,MATCH('Bank Statement Export'!B176,Mapping!$A$2:$A$22,0)),INDEX(Table3[Category],MATCH(TRUE,ISNUMBER(SEARCH(Table3[Unique ID Contains],B176)),0)))</f>
        <v>Payroll</v>
      </c>
      <c r="D176" s="7" t="str">
        <f>INDEX('Forecast 1'!$B$9:$B$56,MATCH('Bank Statement Export'!C176,'Forecast 1'!$B$9:$B$56,0))</f>
        <v>Payroll</v>
      </c>
      <c r="E176" s="14">
        <v>175</v>
      </c>
      <c r="F176" s="10">
        <v>45233</v>
      </c>
      <c r="G176" s="9">
        <v>79877</v>
      </c>
      <c r="H176" s="9" t="s">
        <v>16</v>
      </c>
      <c r="I176" s="11">
        <v>-1190</v>
      </c>
      <c r="J176" s="11">
        <v>189370</v>
      </c>
    </row>
    <row r="177" spans="1:10" x14ac:dyDescent="0.2">
      <c r="A177" s="8">
        <f t="shared" si="4"/>
        <v>45234</v>
      </c>
      <c r="B177" s="7" t="str">
        <f t="shared" si="5"/>
        <v>176 CHECK</v>
      </c>
      <c r="C177" s="7" t="str">
        <f t="array" ref="C177">IFERROR(INDEX(Mapping!$B$2:$B$22,MATCH('Bank Statement Export'!B177,Mapping!$A$2:$A$22,0)),INDEX(Table3[Category],MATCH(TRUE,ISNUMBER(SEARCH(Table3[Unique ID Contains],B177)),0)))</f>
        <v>Payroll</v>
      </c>
      <c r="D177" s="7" t="str">
        <f>INDEX('Forecast 1'!$B$9:$B$56,MATCH('Bank Statement Export'!C177,'Forecast 1'!$B$9:$B$56,0))</f>
        <v>Payroll</v>
      </c>
      <c r="E177" s="14">
        <v>176</v>
      </c>
      <c r="F177" s="10">
        <v>45233</v>
      </c>
      <c r="G177" s="9">
        <v>79878</v>
      </c>
      <c r="H177" s="9" t="s">
        <v>16</v>
      </c>
      <c r="I177" s="11">
        <v>-1150</v>
      </c>
      <c r="J177" s="11">
        <v>188220</v>
      </c>
    </row>
    <row r="178" spans="1:10" x14ac:dyDescent="0.2">
      <c r="A178" s="8">
        <f t="shared" si="4"/>
        <v>45234</v>
      </c>
      <c r="B178" s="7" t="str">
        <f t="shared" si="5"/>
        <v>177 CHECK</v>
      </c>
      <c r="C178" s="7" t="str">
        <f t="array" ref="C178">IFERROR(INDEX(Mapping!$B$2:$B$22,MATCH('Bank Statement Export'!B178,Mapping!$A$2:$A$22,0)),INDEX(Table3[Category],MATCH(TRUE,ISNUMBER(SEARCH(Table3[Unique ID Contains],B178)),0)))</f>
        <v>Payroll</v>
      </c>
      <c r="D178" s="7" t="str">
        <f>INDEX('Forecast 1'!$B$9:$B$56,MATCH('Bank Statement Export'!C178,'Forecast 1'!$B$9:$B$56,0))</f>
        <v>Payroll</v>
      </c>
      <c r="E178" s="14">
        <v>177</v>
      </c>
      <c r="F178" s="10">
        <v>45233</v>
      </c>
      <c r="G178" s="9">
        <v>79879</v>
      </c>
      <c r="H178" s="9" t="s">
        <v>16</v>
      </c>
      <c r="I178" s="11">
        <v>-1140</v>
      </c>
      <c r="J178" s="11">
        <v>187080</v>
      </c>
    </row>
    <row r="179" spans="1:10" x14ac:dyDescent="0.2">
      <c r="A179" s="8">
        <f t="shared" si="4"/>
        <v>45234</v>
      </c>
      <c r="B179" s="7" t="str">
        <f t="shared" si="5"/>
        <v>178 CHECK</v>
      </c>
      <c r="C179" s="7" t="str">
        <f t="array" ref="C179">IFERROR(INDEX(Mapping!$B$2:$B$22,MATCH('Bank Statement Export'!B179,Mapping!$A$2:$A$22,0)),INDEX(Table3[Category],MATCH(TRUE,ISNUMBER(SEARCH(Table3[Unique ID Contains],B179)),0)))</f>
        <v>Payroll</v>
      </c>
      <c r="D179" s="7" t="str">
        <f>INDEX('Forecast 1'!$B$9:$B$56,MATCH('Bank Statement Export'!C179,'Forecast 1'!$B$9:$B$56,0))</f>
        <v>Payroll</v>
      </c>
      <c r="E179" s="14">
        <v>178</v>
      </c>
      <c r="F179" s="10">
        <v>45233</v>
      </c>
      <c r="G179" s="9">
        <v>79880</v>
      </c>
      <c r="H179" s="9" t="s">
        <v>16</v>
      </c>
      <c r="I179" s="11">
        <v>-1470</v>
      </c>
      <c r="J179" s="11">
        <v>185610</v>
      </c>
    </row>
    <row r="180" spans="1:10" x14ac:dyDescent="0.2">
      <c r="A180" s="8">
        <f t="shared" si="4"/>
        <v>45234</v>
      </c>
      <c r="B180" s="7" t="str">
        <f t="shared" si="5"/>
        <v>179 CHECK</v>
      </c>
      <c r="C180" s="7" t="str">
        <f t="array" ref="C180">IFERROR(INDEX(Mapping!$B$2:$B$22,MATCH('Bank Statement Export'!B180,Mapping!$A$2:$A$22,0)),INDEX(Table3[Category],MATCH(TRUE,ISNUMBER(SEARCH(Table3[Unique ID Contains],B180)),0)))</f>
        <v>Payroll</v>
      </c>
      <c r="D180" s="7" t="str">
        <f>INDEX('Forecast 1'!$B$9:$B$56,MATCH('Bank Statement Export'!C180,'Forecast 1'!$B$9:$B$56,0))</f>
        <v>Payroll</v>
      </c>
      <c r="E180" s="14">
        <v>179</v>
      </c>
      <c r="F180" s="10">
        <v>45233</v>
      </c>
      <c r="G180" s="9">
        <v>79881</v>
      </c>
      <c r="H180" s="9" t="s">
        <v>16</v>
      </c>
      <c r="I180" s="11">
        <v>-1740</v>
      </c>
      <c r="J180" s="11">
        <v>183870</v>
      </c>
    </row>
    <row r="181" spans="1:10" x14ac:dyDescent="0.2">
      <c r="A181" s="8">
        <f t="shared" si="4"/>
        <v>45234</v>
      </c>
      <c r="B181" s="7" t="str">
        <f t="shared" si="5"/>
        <v>180 CHECK</v>
      </c>
      <c r="C181" s="7" t="str">
        <f t="array" ref="C181">IFERROR(INDEX(Mapping!$B$2:$B$22,MATCH('Bank Statement Export'!B181,Mapping!$A$2:$A$22,0)),INDEX(Table3[Category],MATCH(TRUE,ISNUMBER(SEARCH(Table3[Unique ID Contains],B181)),0)))</f>
        <v>Payroll</v>
      </c>
      <c r="D181" s="7" t="str">
        <f>INDEX('Forecast 1'!$B$9:$B$56,MATCH('Bank Statement Export'!C181,'Forecast 1'!$B$9:$B$56,0))</f>
        <v>Payroll</v>
      </c>
      <c r="E181" s="14">
        <v>180</v>
      </c>
      <c r="F181" s="10">
        <v>45233</v>
      </c>
      <c r="G181" s="9">
        <v>79882</v>
      </c>
      <c r="H181" s="9" t="s">
        <v>16</v>
      </c>
      <c r="I181" s="11">
        <v>-1370</v>
      </c>
      <c r="J181" s="11">
        <v>182500</v>
      </c>
    </row>
    <row r="182" spans="1:10" x14ac:dyDescent="0.2">
      <c r="A182" s="8">
        <f t="shared" si="4"/>
        <v>45234</v>
      </c>
      <c r="B182" s="7" t="str">
        <f t="shared" si="5"/>
        <v>181 CHECK</v>
      </c>
      <c r="C182" s="7" t="str">
        <f t="array" ref="C182">IFERROR(INDEX(Mapping!$B$2:$B$22,MATCH('Bank Statement Export'!B182,Mapping!$A$2:$A$22,0)),INDEX(Table3[Category],MATCH(TRUE,ISNUMBER(SEARCH(Table3[Unique ID Contains],B182)),0)))</f>
        <v>Payroll</v>
      </c>
      <c r="D182" s="7" t="str">
        <f>INDEX('Forecast 1'!$B$9:$B$56,MATCH('Bank Statement Export'!C182,'Forecast 1'!$B$9:$B$56,0))</f>
        <v>Payroll</v>
      </c>
      <c r="E182" s="14">
        <v>181</v>
      </c>
      <c r="F182" s="10">
        <v>45233</v>
      </c>
      <c r="G182" s="9">
        <v>79883</v>
      </c>
      <c r="H182" s="9" t="s">
        <v>16</v>
      </c>
      <c r="I182" s="11">
        <v>-1190</v>
      </c>
      <c r="J182" s="11">
        <v>181310</v>
      </c>
    </row>
    <row r="183" spans="1:10" x14ac:dyDescent="0.2">
      <c r="A183" s="8">
        <f t="shared" si="4"/>
        <v>45234</v>
      </c>
      <c r="B183" s="7" t="str">
        <f t="shared" si="5"/>
        <v>182 CHECK</v>
      </c>
      <c r="C183" s="7" t="str">
        <f t="array" ref="C183">IFERROR(INDEX(Mapping!$B$2:$B$22,MATCH('Bank Statement Export'!B183,Mapping!$A$2:$A$22,0)),INDEX(Table3[Category],MATCH(TRUE,ISNUMBER(SEARCH(Table3[Unique ID Contains],B183)),0)))</f>
        <v>Payroll</v>
      </c>
      <c r="D183" s="7" t="str">
        <f>INDEX('Forecast 1'!$B$9:$B$56,MATCH('Bank Statement Export'!C183,'Forecast 1'!$B$9:$B$56,0))</f>
        <v>Payroll</v>
      </c>
      <c r="E183" s="14">
        <v>182</v>
      </c>
      <c r="F183" s="10">
        <v>45233</v>
      </c>
      <c r="G183" s="9">
        <v>79884</v>
      </c>
      <c r="H183" s="9" t="s">
        <v>16</v>
      </c>
      <c r="I183" s="11">
        <v>-1380</v>
      </c>
      <c r="J183" s="11">
        <v>179930</v>
      </c>
    </row>
    <row r="184" spans="1:10" x14ac:dyDescent="0.2">
      <c r="A184" s="8">
        <f t="shared" si="4"/>
        <v>45234</v>
      </c>
      <c r="B184" s="7" t="str">
        <f t="shared" si="5"/>
        <v>183 CHECK</v>
      </c>
      <c r="C184" s="7" t="str">
        <f t="array" ref="C184">IFERROR(INDEX(Mapping!$B$2:$B$22,MATCH('Bank Statement Export'!B184,Mapping!$A$2:$A$22,0)),INDEX(Table3[Category],MATCH(TRUE,ISNUMBER(SEARCH(Table3[Unique ID Contains],B184)),0)))</f>
        <v>Payroll</v>
      </c>
      <c r="D184" s="7" t="str">
        <f>INDEX('Forecast 1'!$B$9:$B$56,MATCH('Bank Statement Export'!C184,'Forecast 1'!$B$9:$B$56,0))</f>
        <v>Payroll</v>
      </c>
      <c r="E184" s="14">
        <v>183</v>
      </c>
      <c r="F184" s="10">
        <v>45233</v>
      </c>
      <c r="G184" s="9">
        <v>79885</v>
      </c>
      <c r="H184" s="9" t="s">
        <v>16</v>
      </c>
      <c r="I184" s="11">
        <v>-1370</v>
      </c>
      <c r="J184" s="11">
        <v>178560</v>
      </c>
    </row>
    <row r="185" spans="1:10" x14ac:dyDescent="0.2">
      <c r="A185" s="8">
        <f t="shared" si="4"/>
        <v>45234</v>
      </c>
      <c r="B185" s="7" t="str">
        <f t="shared" si="5"/>
        <v>184 CHECK</v>
      </c>
      <c r="C185" s="7" t="str">
        <f t="array" ref="C185">IFERROR(INDEX(Mapping!$B$2:$B$22,MATCH('Bank Statement Export'!B185,Mapping!$A$2:$A$22,0)),INDEX(Table3[Category],MATCH(TRUE,ISNUMBER(SEARCH(Table3[Unique ID Contains],B185)),0)))</f>
        <v>Payroll</v>
      </c>
      <c r="D185" s="7" t="str">
        <f>INDEX('Forecast 1'!$B$9:$B$56,MATCH('Bank Statement Export'!C185,'Forecast 1'!$B$9:$B$56,0))</f>
        <v>Payroll</v>
      </c>
      <c r="E185" s="14">
        <v>184</v>
      </c>
      <c r="F185" s="10">
        <v>45233</v>
      </c>
      <c r="G185" s="9">
        <v>79886</v>
      </c>
      <c r="H185" s="9" t="s">
        <v>16</v>
      </c>
      <c r="I185" s="11">
        <v>-1430</v>
      </c>
      <c r="J185" s="11">
        <v>177130</v>
      </c>
    </row>
    <row r="186" spans="1:10" x14ac:dyDescent="0.2">
      <c r="A186" s="8">
        <f t="shared" si="4"/>
        <v>45234</v>
      </c>
      <c r="B186" s="7" t="str">
        <f t="shared" si="5"/>
        <v>185 CHECK</v>
      </c>
      <c r="C186" s="7" t="str">
        <f t="array" ref="C186">IFERROR(INDEX(Mapping!$B$2:$B$22,MATCH('Bank Statement Export'!B186,Mapping!$A$2:$A$22,0)),INDEX(Table3[Category],MATCH(TRUE,ISNUMBER(SEARCH(Table3[Unique ID Contains],B186)),0)))</f>
        <v>Payroll</v>
      </c>
      <c r="D186" s="7" t="str">
        <f>INDEX('Forecast 1'!$B$9:$B$56,MATCH('Bank Statement Export'!C186,'Forecast 1'!$B$9:$B$56,0))</f>
        <v>Payroll</v>
      </c>
      <c r="E186" s="14">
        <v>185</v>
      </c>
      <c r="F186" s="10">
        <v>45233</v>
      </c>
      <c r="G186" s="9">
        <v>79887</v>
      </c>
      <c r="H186" s="9" t="s">
        <v>16</v>
      </c>
      <c r="I186" s="11">
        <v>-1170</v>
      </c>
      <c r="J186" s="11">
        <v>175960</v>
      </c>
    </row>
    <row r="187" spans="1:10" x14ac:dyDescent="0.2">
      <c r="A187" s="8">
        <f t="shared" si="4"/>
        <v>45234</v>
      </c>
      <c r="B187" s="7" t="str">
        <f t="shared" si="5"/>
        <v>186 CHECK</v>
      </c>
      <c r="C187" s="7" t="str">
        <f t="array" ref="C187">IFERROR(INDEX(Mapping!$B$2:$B$22,MATCH('Bank Statement Export'!B187,Mapping!$A$2:$A$22,0)),INDEX(Table3[Category],MATCH(TRUE,ISNUMBER(SEARCH(Table3[Unique ID Contains],B187)),0)))</f>
        <v>Payroll</v>
      </c>
      <c r="D187" s="7" t="str">
        <f>INDEX('Forecast 1'!$B$9:$B$56,MATCH('Bank Statement Export'!C187,'Forecast 1'!$B$9:$B$56,0))</f>
        <v>Payroll</v>
      </c>
      <c r="E187" s="14">
        <v>186</v>
      </c>
      <c r="F187" s="10">
        <v>45233</v>
      </c>
      <c r="G187" s="9">
        <v>79888</v>
      </c>
      <c r="H187" s="9" t="s">
        <v>16</v>
      </c>
      <c r="I187" s="11">
        <v>-1870</v>
      </c>
      <c r="J187" s="11">
        <v>174090</v>
      </c>
    </row>
    <row r="188" spans="1:10" x14ac:dyDescent="0.2">
      <c r="A188" s="8">
        <f t="shared" si="4"/>
        <v>45241</v>
      </c>
      <c r="B188" s="7" t="str">
        <f t="shared" si="5"/>
        <v>187 DEPOSIT</v>
      </c>
      <c r="C188" s="7" t="str">
        <f t="array" ref="C188">IFERROR(INDEX(Mapping!$B$2:$B$22,MATCH('Bank Statement Export'!B188,Mapping!$A$2:$A$22,0)),INDEX(Table3[Category],MATCH(TRUE,ISNUMBER(SEARCH(Table3[Unique ID Contains],B188)),0)))</f>
        <v xml:space="preserve">  Invoice Revenue Receipts</v>
      </c>
      <c r="D188" s="7" t="str">
        <f>INDEX('Forecast 1'!$B$9:$B$56,MATCH('Bank Statement Export'!C188,'Forecast 1'!$B$9:$B$56,0))</f>
        <v xml:space="preserve">  Invoice Revenue Receipts</v>
      </c>
      <c r="E188" s="14">
        <v>187</v>
      </c>
      <c r="F188" s="10">
        <v>45236</v>
      </c>
      <c r="G188" s="9" t="s">
        <v>17</v>
      </c>
      <c r="H188" s="9" t="s">
        <v>18</v>
      </c>
      <c r="I188" s="11">
        <v>78680</v>
      </c>
      <c r="J188" s="11">
        <v>252770</v>
      </c>
    </row>
    <row r="189" spans="1:10" x14ac:dyDescent="0.2">
      <c r="A189" s="8">
        <f t="shared" si="4"/>
        <v>45241</v>
      </c>
      <c r="B189" s="7" t="str">
        <f t="shared" si="5"/>
        <v>188 WEB AUTHORIZED PMT KRYPTONIX</v>
      </c>
      <c r="C189" s="7" t="str">
        <f t="array" ref="C189">IFERROR(INDEX(Mapping!$B$2:$B$22,MATCH('Bank Statement Export'!B189,Mapping!$A$2:$A$22,0)),INDEX(Table3[Category],MATCH(TRUE,ISNUMBER(SEARCH(Table3[Unique ID Contains],B189)),0)))</f>
        <v>Dues &amp; Subscriptions</v>
      </c>
      <c r="D189" s="7" t="str">
        <f>INDEX('Forecast 1'!$B$9:$B$56,MATCH('Bank Statement Export'!C189,'Forecast 1'!$B$9:$B$56,0))</f>
        <v>Dues &amp; Subscriptions</v>
      </c>
      <c r="E189" s="14">
        <v>188</v>
      </c>
      <c r="F189" s="10">
        <v>45236</v>
      </c>
      <c r="G189" s="9" t="s">
        <v>14</v>
      </c>
      <c r="H189" s="9" t="s">
        <v>15</v>
      </c>
      <c r="I189" s="11">
        <v>-80</v>
      </c>
      <c r="J189" s="11">
        <v>252690</v>
      </c>
    </row>
    <row r="190" spans="1:10" x14ac:dyDescent="0.2">
      <c r="A190" s="8">
        <f t="shared" si="4"/>
        <v>45241</v>
      </c>
      <c r="B190" s="7" t="str">
        <f t="shared" si="5"/>
        <v>189 WEB AUTHORIZED PMT KRYPTONIX</v>
      </c>
      <c r="C190" s="7" t="str">
        <f t="array" ref="C190">IFERROR(INDEX(Mapping!$B$2:$B$22,MATCH('Bank Statement Export'!B190,Mapping!$A$2:$A$22,0)),INDEX(Table3[Category],MATCH(TRUE,ISNUMBER(SEARCH(Table3[Unique ID Contains],B190)),0)))</f>
        <v>Dues &amp; Subscriptions</v>
      </c>
      <c r="D190" s="7" t="str">
        <f>INDEX('Forecast 1'!$B$9:$B$56,MATCH('Bank Statement Export'!C190,'Forecast 1'!$B$9:$B$56,0))</f>
        <v>Dues &amp; Subscriptions</v>
      </c>
      <c r="E190" s="14">
        <v>189</v>
      </c>
      <c r="F190" s="10">
        <v>45236</v>
      </c>
      <c r="G190" s="9" t="s">
        <v>14</v>
      </c>
      <c r="H190" s="9" t="s">
        <v>15</v>
      </c>
      <c r="I190" s="11">
        <v>-230</v>
      </c>
      <c r="J190" s="11">
        <v>252460</v>
      </c>
    </row>
    <row r="191" spans="1:10" x14ac:dyDescent="0.2">
      <c r="A191" s="8">
        <f t="shared" si="4"/>
        <v>45241</v>
      </c>
      <c r="B191" s="7" t="str">
        <f t="shared" si="5"/>
        <v>190 ELECTRONIC WITHDRAWAL GLOWTECH</v>
      </c>
      <c r="C191" s="7" t="str">
        <f t="array" ref="C191">IFERROR(INDEX(Mapping!$B$2:$B$22,MATCH('Bank Statement Export'!B191,Mapping!$A$2:$A$22,0)),INDEX(Table3[Category],MATCH(TRUE,ISNUMBER(SEARCH(Table3[Unique ID Contains],B191)),0)))</f>
        <v>Technology</v>
      </c>
      <c r="D191" s="7" t="str">
        <f>INDEX('Forecast 1'!$B$9:$B$56,MATCH('Bank Statement Export'!C191,'Forecast 1'!$B$9:$B$56,0))</f>
        <v>Technology</v>
      </c>
      <c r="E191" s="14">
        <v>190</v>
      </c>
      <c r="F191" s="10">
        <v>45236</v>
      </c>
      <c r="G191" s="9" t="s">
        <v>14</v>
      </c>
      <c r="H191" s="9" t="s">
        <v>19</v>
      </c>
      <c r="I191" s="11">
        <v>-1100</v>
      </c>
      <c r="J191" s="11">
        <v>251360</v>
      </c>
    </row>
    <row r="192" spans="1:10" x14ac:dyDescent="0.2">
      <c r="A192" s="8">
        <f t="shared" si="4"/>
        <v>45241</v>
      </c>
      <c r="B192" s="7" t="str">
        <f t="shared" si="5"/>
        <v>191 CHECK</v>
      </c>
      <c r="C192" s="7" t="str">
        <f t="array" ref="C192">IFERROR(INDEX(Mapping!$B$2:$B$22,MATCH('Bank Statement Export'!B192,Mapping!$A$2:$A$22,0)),INDEX(Table3[Category],MATCH(TRUE,ISNUMBER(SEARCH(Table3[Unique ID Contains],B192)),0)))</f>
        <v>Payroll</v>
      </c>
      <c r="D192" s="7" t="str">
        <f>INDEX('Forecast 1'!$B$9:$B$56,MATCH('Bank Statement Export'!C192,'Forecast 1'!$B$9:$B$56,0))</f>
        <v>Payroll</v>
      </c>
      <c r="E192" s="14">
        <v>191</v>
      </c>
      <c r="F192" s="10">
        <v>45236</v>
      </c>
      <c r="G192" s="9">
        <v>79809</v>
      </c>
      <c r="H192" s="9" t="s">
        <v>16</v>
      </c>
      <c r="I192" s="11">
        <v>-1110</v>
      </c>
      <c r="J192" s="11">
        <v>250250</v>
      </c>
    </row>
    <row r="193" spans="1:10" x14ac:dyDescent="0.2">
      <c r="A193" s="8">
        <f t="shared" si="4"/>
        <v>45241</v>
      </c>
      <c r="B193" s="7" t="str">
        <f t="shared" si="5"/>
        <v>192 CHECK</v>
      </c>
      <c r="C193" s="7" t="str">
        <f t="array" ref="C193">IFERROR(INDEX(Mapping!$B$2:$B$22,MATCH('Bank Statement Export'!B193,Mapping!$A$2:$A$22,0)),INDEX(Table3[Category],MATCH(TRUE,ISNUMBER(SEARCH(Table3[Unique ID Contains],B193)),0)))</f>
        <v>Payroll</v>
      </c>
      <c r="D193" s="7" t="str">
        <f>INDEX('Forecast 1'!$B$9:$B$56,MATCH('Bank Statement Export'!C193,'Forecast 1'!$B$9:$B$56,0))</f>
        <v>Payroll</v>
      </c>
      <c r="E193" s="14">
        <v>192</v>
      </c>
      <c r="F193" s="10">
        <v>45237</v>
      </c>
      <c r="G193" s="9">
        <v>79773</v>
      </c>
      <c r="H193" s="9" t="s">
        <v>16</v>
      </c>
      <c r="I193" s="11">
        <v>-2510</v>
      </c>
      <c r="J193" s="11">
        <v>247740</v>
      </c>
    </row>
    <row r="194" spans="1:10" x14ac:dyDescent="0.2">
      <c r="A194" s="8">
        <f t="shared" si="4"/>
        <v>45241</v>
      </c>
      <c r="B194" s="7" t="str">
        <f t="shared" si="5"/>
        <v>193 CHECK</v>
      </c>
      <c r="C194" s="7" t="str">
        <f t="array" ref="C194">IFERROR(INDEX(Mapping!$B$2:$B$22,MATCH('Bank Statement Export'!B194,Mapping!$A$2:$A$22,0)),INDEX(Table3[Category],MATCH(TRUE,ISNUMBER(SEARCH(Table3[Unique ID Contains],B194)),0)))</f>
        <v>Accounts Payable</v>
      </c>
      <c r="D194" s="7" t="str">
        <f>INDEX('Forecast 1'!$B$9:$B$56,MATCH('Bank Statement Export'!C194,'Forecast 1'!$B$9:$B$56,0))</f>
        <v>Accounts Payable</v>
      </c>
      <c r="E194" s="14">
        <v>193</v>
      </c>
      <c r="F194" s="10">
        <v>45237</v>
      </c>
      <c r="G194" s="9">
        <v>79779</v>
      </c>
      <c r="H194" s="9" t="s">
        <v>16</v>
      </c>
      <c r="I194" s="11">
        <v>-9350</v>
      </c>
      <c r="J194" s="11">
        <v>238390</v>
      </c>
    </row>
    <row r="195" spans="1:10" x14ac:dyDescent="0.2">
      <c r="A195" s="8">
        <f t="shared" ref="A195:A258" si="6">F195+7-WEEKDAY(F195)</f>
        <v>45241</v>
      </c>
      <c r="B195" s="7" t="str">
        <f t="shared" ref="B195:B258" si="7">CONCATENATE(E195," ",H195)</f>
        <v>194 CHECK</v>
      </c>
      <c r="C195" s="7" t="str">
        <f t="array" ref="C195">IFERROR(INDEX(Mapping!$B$2:$B$22,MATCH('Bank Statement Export'!B195,Mapping!$A$2:$A$22,0)),INDEX(Table3[Category],MATCH(TRUE,ISNUMBER(SEARCH(Table3[Unique ID Contains],B195)),0)))</f>
        <v>Payroll</v>
      </c>
      <c r="D195" s="7" t="str">
        <f>INDEX('Forecast 1'!$B$9:$B$56,MATCH('Bank Statement Export'!C195,'Forecast 1'!$B$9:$B$56,0))</f>
        <v>Payroll</v>
      </c>
      <c r="E195" s="14">
        <v>194</v>
      </c>
      <c r="F195" s="10">
        <v>45237</v>
      </c>
      <c r="G195" s="9">
        <v>79795</v>
      </c>
      <c r="H195" s="9" t="s">
        <v>16</v>
      </c>
      <c r="I195" s="11">
        <v>-100</v>
      </c>
      <c r="J195" s="11">
        <v>238290</v>
      </c>
    </row>
    <row r="196" spans="1:10" x14ac:dyDescent="0.2">
      <c r="A196" s="8">
        <f t="shared" si="6"/>
        <v>45241</v>
      </c>
      <c r="B196" s="7" t="str">
        <f t="shared" si="7"/>
        <v>195 CHECK</v>
      </c>
      <c r="C196" s="7" t="str">
        <f t="array" ref="C196">IFERROR(INDEX(Mapping!$B$2:$B$22,MATCH('Bank Statement Export'!B196,Mapping!$A$2:$A$22,0)),INDEX(Table3[Category],MATCH(TRUE,ISNUMBER(SEARCH(Table3[Unique ID Contains],B196)),0)))</f>
        <v>Payroll</v>
      </c>
      <c r="D196" s="7" t="str">
        <f>INDEX('Forecast 1'!$B$9:$B$56,MATCH('Bank Statement Export'!C196,'Forecast 1'!$B$9:$B$56,0))</f>
        <v>Payroll</v>
      </c>
      <c r="E196" s="14">
        <v>195</v>
      </c>
      <c r="F196" s="10">
        <v>45237</v>
      </c>
      <c r="G196" s="9">
        <v>79798</v>
      </c>
      <c r="H196" s="9" t="s">
        <v>16</v>
      </c>
      <c r="I196" s="11">
        <v>-100</v>
      </c>
      <c r="J196" s="11">
        <v>238190</v>
      </c>
    </row>
    <row r="197" spans="1:10" x14ac:dyDescent="0.2">
      <c r="A197" s="8">
        <f t="shared" si="6"/>
        <v>45241</v>
      </c>
      <c r="B197" s="7" t="str">
        <f t="shared" si="7"/>
        <v>196 ELECTRONIC WITHDRAWAL STATE DEPT REVENUE</v>
      </c>
      <c r="C197" s="7" t="str">
        <f t="array" ref="C197">IFERROR(INDEX(Mapping!$B$2:$B$22,MATCH('Bank Statement Export'!B197,Mapping!$A$2:$A$22,0)),INDEX(Table3[Category],MATCH(TRUE,ISNUMBER(SEARCH(Table3[Unique ID Contains],B197)),0)))</f>
        <v>Tax Distributions</v>
      </c>
      <c r="D197" s="7" t="str">
        <f>INDEX('Forecast 1'!$B$9:$B$56,MATCH('Bank Statement Export'!C197,'Forecast 1'!$B$9:$B$56,0))</f>
        <v>Tax Distributions</v>
      </c>
      <c r="E197" s="14">
        <v>196</v>
      </c>
      <c r="F197" s="10">
        <v>45238</v>
      </c>
      <c r="G197" s="9" t="s">
        <v>14</v>
      </c>
      <c r="H197" s="9" t="s">
        <v>20</v>
      </c>
      <c r="I197" s="11">
        <v>-3300</v>
      </c>
      <c r="J197" s="11">
        <v>234890</v>
      </c>
    </row>
    <row r="198" spans="1:10" x14ac:dyDescent="0.2">
      <c r="A198" s="8">
        <f t="shared" si="6"/>
        <v>45241</v>
      </c>
      <c r="B198" s="7" t="str">
        <f t="shared" si="7"/>
        <v>197 ELECTRONIC WITHDRAWAL IRS</v>
      </c>
      <c r="C198" s="7" t="str">
        <f t="array" ref="C198">IFERROR(INDEX(Mapping!$B$2:$B$22,MATCH('Bank Statement Export'!B198,Mapping!$A$2:$A$22,0)),INDEX(Table3[Category],MATCH(TRUE,ISNUMBER(SEARCH(Table3[Unique ID Contains],B198)),0)))</f>
        <v>Tax Distributions</v>
      </c>
      <c r="D198" s="7" t="str">
        <f>INDEX('Forecast 1'!$B$9:$B$56,MATCH('Bank Statement Export'!C198,'Forecast 1'!$B$9:$B$56,0))</f>
        <v>Tax Distributions</v>
      </c>
      <c r="E198" s="14">
        <v>197</v>
      </c>
      <c r="F198" s="10">
        <v>45238</v>
      </c>
      <c r="G198" s="9" t="s">
        <v>14</v>
      </c>
      <c r="H198" s="9" t="s">
        <v>21</v>
      </c>
      <c r="I198" s="11">
        <v>-16920</v>
      </c>
      <c r="J198" s="11">
        <v>217970</v>
      </c>
    </row>
    <row r="199" spans="1:10" x14ac:dyDescent="0.2">
      <c r="A199" s="8">
        <f t="shared" si="6"/>
        <v>45241</v>
      </c>
      <c r="B199" s="7" t="str">
        <f t="shared" si="7"/>
        <v>198 CHECK</v>
      </c>
      <c r="C199" s="7" t="str">
        <f t="array" ref="C199">IFERROR(INDEX(Mapping!$B$2:$B$22,MATCH('Bank Statement Export'!B199,Mapping!$A$2:$A$22,0)),INDEX(Table3[Category],MATCH(TRUE,ISNUMBER(SEARCH(Table3[Unique ID Contains],B199)),0)))</f>
        <v>Accounts Payable</v>
      </c>
      <c r="D199" s="7" t="str">
        <f>INDEX('Forecast 1'!$B$9:$B$56,MATCH('Bank Statement Export'!C199,'Forecast 1'!$B$9:$B$56,0))</f>
        <v>Accounts Payable</v>
      </c>
      <c r="E199" s="14">
        <v>198</v>
      </c>
      <c r="F199" s="10">
        <v>45238</v>
      </c>
      <c r="G199" s="9">
        <v>79790</v>
      </c>
      <c r="H199" s="9" t="s">
        <v>16</v>
      </c>
      <c r="I199" s="11">
        <v>-7930</v>
      </c>
      <c r="J199" s="11">
        <v>210040</v>
      </c>
    </row>
    <row r="200" spans="1:10" x14ac:dyDescent="0.2">
      <c r="A200" s="8">
        <f t="shared" si="6"/>
        <v>45241</v>
      </c>
      <c r="B200" s="7" t="str">
        <f t="shared" si="7"/>
        <v>199 CHECK</v>
      </c>
      <c r="C200" s="7" t="str">
        <f t="array" ref="C200">IFERROR(INDEX(Mapping!$B$2:$B$22,MATCH('Bank Statement Export'!B200,Mapping!$A$2:$A$22,0)),INDEX(Table3[Category],MATCH(TRUE,ISNUMBER(SEARCH(Table3[Unique ID Contains],B200)),0)))</f>
        <v>Accounts Payable</v>
      </c>
      <c r="D200" s="7" t="str">
        <f>INDEX('Forecast 1'!$B$9:$B$56,MATCH('Bank Statement Export'!C200,'Forecast 1'!$B$9:$B$56,0))</f>
        <v>Accounts Payable</v>
      </c>
      <c r="E200" s="14">
        <v>199</v>
      </c>
      <c r="F200" s="10">
        <v>45238</v>
      </c>
      <c r="G200" s="9">
        <v>79796</v>
      </c>
      <c r="H200" s="9" t="s">
        <v>16</v>
      </c>
      <c r="I200" s="11">
        <v>-3080</v>
      </c>
      <c r="J200" s="11">
        <v>206960</v>
      </c>
    </row>
    <row r="201" spans="1:10" x14ac:dyDescent="0.2">
      <c r="A201" s="8">
        <f t="shared" si="6"/>
        <v>45241</v>
      </c>
      <c r="B201" s="7" t="str">
        <f t="shared" si="7"/>
        <v>200 CHECK</v>
      </c>
      <c r="C201" s="7" t="str">
        <f t="array" ref="C201">IFERROR(INDEX(Mapping!$B$2:$B$22,MATCH('Bank Statement Export'!B201,Mapping!$A$2:$A$22,0)),INDEX(Table3[Category],MATCH(TRUE,ISNUMBER(SEARCH(Table3[Unique ID Contains],B201)),0)))</f>
        <v>Accounts Payable</v>
      </c>
      <c r="D201" s="7" t="str">
        <f>INDEX('Forecast 1'!$B$9:$B$56,MATCH('Bank Statement Export'!C201,'Forecast 1'!$B$9:$B$56,0))</f>
        <v>Accounts Payable</v>
      </c>
      <c r="E201" s="14">
        <v>200</v>
      </c>
      <c r="F201" s="10">
        <v>45238</v>
      </c>
      <c r="G201" s="9">
        <v>79923</v>
      </c>
      <c r="H201" s="9" t="s">
        <v>16</v>
      </c>
      <c r="I201" s="11">
        <v>-49450</v>
      </c>
      <c r="J201" s="11">
        <v>157510</v>
      </c>
    </row>
    <row r="202" spans="1:10" x14ac:dyDescent="0.2">
      <c r="A202" s="8">
        <f t="shared" si="6"/>
        <v>45241</v>
      </c>
      <c r="B202" s="7" t="str">
        <f t="shared" si="7"/>
        <v>201 ELECTRONIC WITHDRAWAL GLOWTECH</v>
      </c>
      <c r="C202" s="7" t="str">
        <f t="array" ref="C202">IFERROR(INDEX(Mapping!$B$2:$B$22,MATCH('Bank Statement Export'!B202,Mapping!$A$2:$A$22,0)),INDEX(Table3[Category],MATCH(TRUE,ISNUMBER(SEARCH(Table3[Unique ID Contains],B202)),0)))</f>
        <v>Technology</v>
      </c>
      <c r="D202" s="7" t="str">
        <f>INDEX('Forecast 1'!$B$9:$B$56,MATCH('Bank Statement Export'!C202,'Forecast 1'!$B$9:$B$56,0))</f>
        <v>Technology</v>
      </c>
      <c r="E202" s="14">
        <v>201</v>
      </c>
      <c r="F202" s="10">
        <v>45239</v>
      </c>
      <c r="G202" s="9" t="s">
        <v>14</v>
      </c>
      <c r="H202" s="9" t="s">
        <v>19</v>
      </c>
      <c r="I202" s="11">
        <v>-1000</v>
      </c>
      <c r="J202" s="11">
        <v>156510</v>
      </c>
    </row>
    <row r="203" spans="1:10" x14ac:dyDescent="0.2">
      <c r="A203" s="8">
        <f t="shared" si="6"/>
        <v>45241</v>
      </c>
      <c r="B203" s="7" t="str">
        <f t="shared" si="7"/>
        <v>202 ELECTRONIC WITHDRAWAL HYPERTECH</v>
      </c>
      <c r="C203" s="7" t="str">
        <f t="array" ref="C203">IFERROR(INDEX(Mapping!$B$2:$B$22,MATCH('Bank Statement Export'!B203,Mapping!$A$2:$A$22,0)),INDEX(Table3[Category],MATCH(TRUE,ISNUMBER(SEARCH(Table3[Unique ID Contains],B203)),0)))</f>
        <v>Marketing</v>
      </c>
      <c r="D203" s="7" t="str">
        <f>INDEX('Forecast 1'!$B$9:$B$56,MATCH('Bank Statement Export'!C203,'Forecast 1'!$B$9:$B$56,0))</f>
        <v>Marketing</v>
      </c>
      <c r="E203" s="14">
        <v>202</v>
      </c>
      <c r="F203" s="10">
        <v>45239</v>
      </c>
      <c r="G203" s="9" t="s">
        <v>14</v>
      </c>
      <c r="H203" s="9" t="s">
        <v>25</v>
      </c>
      <c r="I203" s="11">
        <v>-1020</v>
      </c>
      <c r="J203" s="11">
        <v>155490</v>
      </c>
    </row>
    <row r="204" spans="1:10" x14ac:dyDescent="0.2">
      <c r="A204" s="8">
        <f t="shared" si="6"/>
        <v>45241</v>
      </c>
      <c r="B204" s="7" t="str">
        <f t="shared" si="7"/>
        <v>203 ELECTRONIC WITHDRAWAL PAYROLL</v>
      </c>
      <c r="C204" s="7" t="str">
        <f t="array" ref="C204">IFERROR(INDEX(Mapping!$B$2:$B$22,MATCH('Bank Statement Export'!B204,Mapping!$A$2:$A$22,0)),INDEX(Table3[Category],MATCH(TRUE,ISNUMBER(SEARCH(Table3[Unique ID Contains],B204)),0)))</f>
        <v>Payroll</v>
      </c>
      <c r="D204" s="7" t="str">
        <f>INDEX('Forecast 1'!$B$9:$B$56,MATCH('Bank Statement Export'!C204,'Forecast 1'!$B$9:$B$56,0))</f>
        <v>Payroll</v>
      </c>
      <c r="E204" s="14">
        <v>203</v>
      </c>
      <c r="F204" s="10">
        <v>45239</v>
      </c>
      <c r="G204" s="9" t="s">
        <v>14</v>
      </c>
      <c r="H204" s="9" t="s">
        <v>22</v>
      </c>
      <c r="I204" s="11">
        <v>-3880</v>
      </c>
      <c r="J204" s="11">
        <v>151610</v>
      </c>
    </row>
    <row r="205" spans="1:10" x14ac:dyDescent="0.2">
      <c r="A205" s="8">
        <f t="shared" si="6"/>
        <v>45241</v>
      </c>
      <c r="B205" s="7" t="str">
        <f t="shared" si="7"/>
        <v>204 ELECTRONIC WITHDRAWAL PAYROLL</v>
      </c>
      <c r="C205" s="7" t="str">
        <f t="array" ref="C205">IFERROR(INDEX(Mapping!$B$2:$B$22,MATCH('Bank Statement Export'!B205,Mapping!$A$2:$A$22,0)),INDEX(Table3[Category],MATCH(TRUE,ISNUMBER(SEARCH(Table3[Unique ID Contains],B205)),0)))</f>
        <v>Payroll</v>
      </c>
      <c r="D205" s="7" t="str">
        <f>INDEX('Forecast 1'!$B$9:$B$56,MATCH('Bank Statement Export'!C205,'Forecast 1'!$B$9:$B$56,0))</f>
        <v>Payroll</v>
      </c>
      <c r="E205" s="14">
        <v>204</v>
      </c>
      <c r="F205" s="10">
        <v>45239</v>
      </c>
      <c r="G205" s="9" t="s">
        <v>14</v>
      </c>
      <c r="H205" s="9" t="s">
        <v>22</v>
      </c>
      <c r="I205" s="11">
        <v>-5000</v>
      </c>
      <c r="J205" s="11">
        <v>146610</v>
      </c>
    </row>
    <row r="206" spans="1:10" x14ac:dyDescent="0.2">
      <c r="A206" s="8">
        <f t="shared" si="6"/>
        <v>45241</v>
      </c>
      <c r="B206" s="7" t="str">
        <f t="shared" si="7"/>
        <v>205 CHECK</v>
      </c>
      <c r="C206" s="7" t="str">
        <f t="array" ref="C206">IFERROR(INDEX(Mapping!$B$2:$B$22,MATCH('Bank Statement Export'!B206,Mapping!$A$2:$A$22,0)),INDEX(Table3[Category],MATCH(TRUE,ISNUMBER(SEARCH(Table3[Unique ID Contains],B206)),0)))</f>
        <v>Payroll</v>
      </c>
      <c r="D206" s="7" t="str">
        <f>INDEX('Forecast 1'!$B$9:$B$56,MATCH('Bank Statement Export'!C206,'Forecast 1'!$B$9:$B$56,0))</f>
        <v>Payroll</v>
      </c>
      <c r="E206" s="14">
        <v>205</v>
      </c>
      <c r="F206" s="10">
        <v>45239</v>
      </c>
      <c r="G206" s="9">
        <v>79890</v>
      </c>
      <c r="H206" s="9" t="s">
        <v>16</v>
      </c>
      <c r="I206" s="11">
        <v>-1460</v>
      </c>
      <c r="J206" s="11">
        <v>145150</v>
      </c>
    </row>
    <row r="207" spans="1:10" x14ac:dyDescent="0.2">
      <c r="A207" s="8">
        <f t="shared" si="6"/>
        <v>45241</v>
      </c>
      <c r="B207" s="7" t="str">
        <f t="shared" si="7"/>
        <v>206 ELECTRONIC DEPOSIT ARCATECH</v>
      </c>
      <c r="C207" s="7" t="str">
        <f t="array" ref="C207">IFERROR(INDEX(Mapping!$B$2:$B$22,MATCH('Bank Statement Export'!B207,Mapping!$A$2:$A$22,0)),INDEX(Table3[Category],MATCH(TRUE,ISNUMBER(SEARCH(Table3[Unique ID Contains],B207)),0)))</f>
        <v xml:space="preserve">  Invoice Revenue Receipts</v>
      </c>
      <c r="D207" s="7" t="str">
        <f>INDEX('Forecast 1'!$B$9:$B$56,MATCH('Bank Statement Export'!C207,'Forecast 1'!$B$9:$B$56,0))</f>
        <v xml:space="preserve">  Invoice Revenue Receipts</v>
      </c>
      <c r="E207" s="14">
        <v>206</v>
      </c>
      <c r="F207" s="10">
        <v>45240</v>
      </c>
      <c r="G207" s="9" t="s">
        <v>17</v>
      </c>
      <c r="H207" s="9" t="s">
        <v>35</v>
      </c>
      <c r="I207" s="11">
        <v>131470</v>
      </c>
      <c r="J207" s="11">
        <v>276620</v>
      </c>
    </row>
    <row r="208" spans="1:10" x14ac:dyDescent="0.2">
      <c r="A208" s="8">
        <f t="shared" si="6"/>
        <v>45241</v>
      </c>
      <c r="B208" s="7" t="str">
        <f t="shared" si="7"/>
        <v>207 CHECK</v>
      </c>
      <c r="C208" s="7" t="str">
        <f t="array" ref="C208">IFERROR(INDEX(Mapping!$B$2:$B$22,MATCH('Bank Statement Export'!B208,Mapping!$A$2:$A$22,0)),INDEX(Table3[Category],MATCH(TRUE,ISNUMBER(SEARCH(Table3[Unique ID Contains],B208)),0)))</f>
        <v>Payroll</v>
      </c>
      <c r="D208" s="7" t="str">
        <f>INDEX('Forecast 1'!$B$9:$B$56,MATCH('Bank Statement Export'!C208,'Forecast 1'!$B$9:$B$56,0))</f>
        <v>Payroll</v>
      </c>
      <c r="E208" s="14">
        <v>207</v>
      </c>
      <c r="F208" s="10">
        <v>45240</v>
      </c>
      <c r="G208" s="9">
        <v>79776</v>
      </c>
      <c r="H208" s="9" t="s">
        <v>16</v>
      </c>
      <c r="I208" s="11">
        <v>-790</v>
      </c>
      <c r="J208" s="11">
        <v>275830</v>
      </c>
    </row>
    <row r="209" spans="1:10" x14ac:dyDescent="0.2">
      <c r="A209" s="8">
        <f t="shared" si="6"/>
        <v>45241</v>
      </c>
      <c r="B209" s="7" t="str">
        <f t="shared" si="7"/>
        <v>208 CHECK</v>
      </c>
      <c r="C209" s="7" t="str">
        <f t="array" ref="C209">IFERROR(INDEX(Mapping!$B$2:$B$22,MATCH('Bank Statement Export'!B209,Mapping!$A$2:$A$22,0)),INDEX(Table3[Category],MATCH(TRUE,ISNUMBER(SEARCH(Table3[Unique ID Contains],B209)),0)))</f>
        <v>Payroll</v>
      </c>
      <c r="D209" s="7" t="str">
        <f>INDEX('Forecast 1'!$B$9:$B$56,MATCH('Bank Statement Export'!C209,'Forecast 1'!$B$9:$B$56,0))</f>
        <v>Payroll</v>
      </c>
      <c r="E209" s="14">
        <v>208</v>
      </c>
      <c r="F209" s="10">
        <v>45240</v>
      </c>
      <c r="G209" s="9">
        <v>79799</v>
      </c>
      <c r="H209" s="9" t="s">
        <v>16</v>
      </c>
      <c r="I209" s="11">
        <v>-840</v>
      </c>
      <c r="J209" s="11">
        <v>274990</v>
      </c>
    </row>
    <row r="210" spans="1:10" x14ac:dyDescent="0.2">
      <c r="A210" s="8">
        <f t="shared" si="6"/>
        <v>45241</v>
      </c>
      <c r="B210" s="7" t="str">
        <f t="shared" si="7"/>
        <v>209 CHECK</v>
      </c>
      <c r="C210" s="7" t="str">
        <f t="array" ref="C210">IFERROR(INDEX(Mapping!$B$2:$B$22,MATCH('Bank Statement Export'!B210,Mapping!$A$2:$A$22,0)),INDEX(Table3[Category],MATCH(TRUE,ISNUMBER(SEARCH(Table3[Unique ID Contains],B210)),0)))</f>
        <v>Payroll</v>
      </c>
      <c r="D210" s="7" t="str">
        <f>INDEX('Forecast 1'!$B$9:$B$56,MATCH('Bank Statement Export'!C210,'Forecast 1'!$B$9:$B$56,0))</f>
        <v>Payroll</v>
      </c>
      <c r="E210" s="14">
        <v>209</v>
      </c>
      <c r="F210" s="10">
        <v>45240</v>
      </c>
      <c r="G210" s="9">
        <v>79803</v>
      </c>
      <c r="H210" s="9" t="s">
        <v>16</v>
      </c>
      <c r="I210" s="11">
        <v>-160</v>
      </c>
      <c r="J210" s="11">
        <v>274830</v>
      </c>
    </row>
    <row r="211" spans="1:10" x14ac:dyDescent="0.2">
      <c r="A211" s="8">
        <f t="shared" si="6"/>
        <v>45241</v>
      </c>
      <c r="B211" s="7" t="str">
        <f t="shared" si="7"/>
        <v>210 CHECK</v>
      </c>
      <c r="C211" s="7" t="str">
        <f t="array" ref="C211">IFERROR(INDEX(Mapping!$B$2:$B$22,MATCH('Bank Statement Export'!B211,Mapping!$A$2:$A$22,0)),INDEX(Table3[Category],MATCH(TRUE,ISNUMBER(SEARCH(Table3[Unique ID Contains],B211)),0)))</f>
        <v>Payroll</v>
      </c>
      <c r="D211" s="7" t="str">
        <f>INDEX('Forecast 1'!$B$9:$B$56,MATCH('Bank Statement Export'!C211,'Forecast 1'!$B$9:$B$56,0))</f>
        <v>Payroll</v>
      </c>
      <c r="E211" s="14">
        <v>210</v>
      </c>
      <c r="F211" s="10">
        <v>45240</v>
      </c>
      <c r="G211" s="9">
        <v>79869</v>
      </c>
      <c r="H211" s="9" t="s">
        <v>16</v>
      </c>
      <c r="I211" s="11">
        <v>-1160</v>
      </c>
      <c r="J211" s="11">
        <v>273670</v>
      </c>
    </row>
    <row r="212" spans="1:10" x14ac:dyDescent="0.2">
      <c r="A212" s="8">
        <f t="shared" si="6"/>
        <v>45241</v>
      </c>
      <c r="B212" s="7" t="str">
        <f t="shared" si="7"/>
        <v>211 CHECK</v>
      </c>
      <c r="C212" s="7" t="str">
        <f t="array" ref="C212">IFERROR(INDEX(Mapping!$B$2:$B$22,MATCH('Bank Statement Export'!B212,Mapping!$A$2:$A$22,0)),INDEX(Table3[Category],MATCH(TRUE,ISNUMBER(SEARCH(Table3[Unique ID Contains],B212)),0)))</f>
        <v>Payroll</v>
      </c>
      <c r="D212" s="7" t="str">
        <f>INDEX('Forecast 1'!$B$9:$B$56,MATCH('Bank Statement Export'!C212,'Forecast 1'!$B$9:$B$56,0))</f>
        <v>Payroll</v>
      </c>
      <c r="E212" s="14">
        <v>211</v>
      </c>
      <c r="F212" s="10">
        <v>45240</v>
      </c>
      <c r="G212" s="9">
        <v>79891</v>
      </c>
      <c r="H212" s="9" t="s">
        <v>16</v>
      </c>
      <c r="I212" s="11">
        <v>-1110</v>
      </c>
      <c r="J212" s="11">
        <v>272560</v>
      </c>
    </row>
    <row r="213" spans="1:10" x14ac:dyDescent="0.2">
      <c r="A213" s="8">
        <f t="shared" si="6"/>
        <v>45241</v>
      </c>
      <c r="B213" s="7" t="str">
        <f t="shared" si="7"/>
        <v>212 CHECK</v>
      </c>
      <c r="C213" s="7" t="str">
        <f t="array" ref="C213">IFERROR(INDEX(Mapping!$B$2:$B$22,MATCH('Bank Statement Export'!B213,Mapping!$A$2:$A$22,0)),INDEX(Table3[Category],MATCH(TRUE,ISNUMBER(SEARCH(Table3[Unique ID Contains],B213)),0)))</f>
        <v>Payroll</v>
      </c>
      <c r="D213" s="7" t="str">
        <f>INDEX('Forecast 1'!$B$9:$B$56,MATCH('Bank Statement Export'!C213,'Forecast 1'!$B$9:$B$56,0))</f>
        <v>Payroll</v>
      </c>
      <c r="E213" s="14">
        <v>212</v>
      </c>
      <c r="F213" s="10">
        <v>45240</v>
      </c>
      <c r="G213" s="9">
        <v>79892</v>
      </c>
      <c r="H213" s="9" t="s">
        <v>16</v>
      </c>
      <c r="I213" s="11">
        <v>-980</v>
      </c>
      <c r="J213" s="11">
        <v>271580</v>
      </c>
    </row>
    <row r="214" spans="1:10" x14ac:dyDescent="0.2">
      <c r="A214" s="8">
        <f t="shared" si="6"/>
        <v>45241</v>
      </c>
      <c r="B214" s="7" t="str">
        <f t="shared" si="7"/>
        <v>213 CHECK</v>
      </c>
      <c r="C214" s="7" t="str">
        <f t="array" ref="C214">IFERROR(INDEX(Mapping!$B$2:$B$22,MATCH('Bank Statement Export'!B214,Mapping!$A$2:$A$22,0)),INDEX(Table3[Category],MATCH(TRUE,ISNUMBER(SEARCH(Table3[Unique ID Contains],B214)),0)))</f>
        <v>Payroll</v>
      </c>
      <c r="D214" s="7" t="str">
        <f>INDEX('Forecast 1'!$B$9:$B$56,MATCH('Bank Statement Export'!C214,'Forecast 1'!$B$9:$B$56,0))</f>
        <v>Payroll</v>
      </c>
      <c r="E214" s="14">
        <v>213</v>
      </c>
      <c r="F214" s="10">
        <v>45240</v>
      </c>
      <c r="G214" s="9">
        <v>79893</v>
      </c>
      <c r="H214" s="9" t="s">
        <v>16</v>
      </c>
      <c r="I214" s="11">
        <v>-1070</v>
      </c>
      <c r="J214" s="11">
        <v>270510</v>
      </c>
    </row>
    <row r="215" spans="1:10" x14ac:dyDescent="0.2">
      <c r="A215" s="8">
        <f t="shared" si="6"/>
        <v>45241</v>
      </c>
      <c r="B215" s="7" t="str">
        <f t="shared" si="7"/>
        <v>214 CHECK</v>
      </c>
      <c r="C215" s="7" t="str">
        <f t="array" ref="C215">IFERROR(INDEX(Mapping!$B$2:$B$22,MATCH('Bank Statement Export'!B215,Mapping!$A$2:$A$22,0)),INDEX(Table3[Category],MATCH(TRUE,ISNUMBER(SEARCH(Table3[Unique ID Contains],B215)),0)))</f>
        <v>Payroll</v>
      </c>
      <c r="D215" s="7" t="str">
        <f>INDEX('Forecast 1'!$B$9:$B$56,MATCH('Bank Statement Export'!C215,'Forecast 1'!$B$9:$B$56,0))</f>
        <v>Payroll</v>
      </c>
      <c r="E215" s="14">
        <v>214</v>
      </c>
      <c r="F215" s="10">
        <v>45240</v>
      </c>
      <c r="G215" s="9">
        <v>79894</v>
      </c>
      <c r="H215" s="9" t="s">
        <v>16</v>
      </c>
      <c r="I215" s="11">
        <v>-1880</v>
      </c>
      <c r="J215" s="11">
        <v>268630</v>
      </c>
    </row>
    <row r="216" spans="1:10" x14ac:dyDescent="0.2">
      <c r="A216" s="8">
        <f t="shared" si="6"/>
        <v>45241</v>
      </c>
      <c r="B216" s="7" t="str">
        <f t="shared" si="7"/>
        <v>215 CHECK</v>
      </c>
      <c r="C216" s="7" t="str">
        <f t="array" ref="C216">IFERROR(INDEX(Mapping!$B$2:$B$22,MATCH('Bank Statement Export'!B216,Mapping!$A$2:$A$22,0)),INDEX(Table3[Category],MATCH(TRUE,ISNUMBER(SEARCH(Table3[Unique ID Contains],B216)),0)))</f>
        <v>Payroll</v>
      </c>
      <c r="D216" s="7" t="str">
        <f>INDEX('Forecast 1'!$B$9:$B$56,MATCH('Bank Statement Export'!C216,'Forecast 1'!$B$9:$B$56,0))</f>
        <v>Payroll</v>
      </c>
      <c r="E216" s="14">
        <v>215</v>
      </c>
      <c r="F216" s="10">
        <v>45240</v>
      </c>
      <c r="G216" s="9">
        <v>79895</v>
      </c>
      <c r="H216" s="9" t="s">
        <v>16</v>
      </c>
      <c r="I216" s="11">
        <v>-1190</v>
      </c>
      <c r="J216" s="11">
        <v>267440</v>
      </c>
    </row>
    <row r="217" spans="1:10" x14ac:dyDescent="0.2">
      <c r="A217" s="8">
        <f t="shared" si="6"/>
        <v>45241</v>
      </c>
      <c r="B217" s="7" t="str">
        <f t="shared" si="7"/>
        <v>216 CHECK</v>
      </c>
      <c r="C217" s="7" t="str">
        <f t="array" ref="C217">IFERROR(INDEX(Mapping!$B$2:$B$22,MATCH('Bank Statement Export'!B217,Mapping!$A$2:$A$22,0)),INDEX(Table3[Category],MATCH(TRUE,ISNUMBER(SEARCH(Table3[Unique ID Contains],B217)),0)))</f>
        <v>Payroll</v>
      </c>
      <c r="D217" s="7" t="str">
        <f>INDEX('Forecast 1'!$B$9:$B$56,MATCH('Bank Statement Export'!C217,'Forecast 1'!$B$9:$B$56,0))</f>
        <v>Payroll</v>
      </c>
      <c r="E217" s="14">
        <v>216</v>
      </c>
      <c r="F217" s="10">
        <v>45240</v>
      </c>
      <c r="G217" s="9">
        <v>79896</v>
      </c>
      <c r="H217" s="9" t="s">
        <v>16</v>
      </c>
      <c r="I217" s="11">
        <v>-970</v>
      </c>
      <c r="J217" s="11">
        <v>266470</v>
      </c>
    </row>
    <row r="218" spans="1:10" x14ac:dyDescent="0.2">
      <c r="A218" s="8">
        <f t="shared" si="6"/>
        <v>45241</v>
      </c>
      <c r="B218" s="7" t="str">
        <f t="shared" si="7"/>
        <v>217 CHECK</v>
      </c>
      <c r="C218" s="7" t="str">
        <f t="array" ref="C218">IFERROR(INDEX(Mapping!$B$2:$B$22,MATCH('Bank Statement Export'!B218,Mapping!$A$2:$A$22,0)),INDEX(Table3[Category],MATCH(TRUE,ISNUMBER(SEARCH(Table3[Unique ID Contains],B218)),0)))</f>
        <v>Payroll</v>
      </c>
      <c r="D218" s="7" t="str">
        <f>INDEX('Forecast 1'!$B$9:$B$56,MATCH('Bank Statement Export'!C218,'Forecast 1'!$B$9:$B$56,0))</f>
        <v>Payroll</v>
      </c>
      <c r="E218" s="14">
        <v>217</v>
      </c>
      <c r="F218" s="10">
        <v>45240</v>
      </c>
      <c r="G218" s="9">
        <v>79897</v>
      </c>
      <c r="H218" s="9" t="s">
        <v>16</v>
      </c>
      <c r="I218" s="11">
        <v>-1160</v>
      </c>
      <c r="J218" s="11">
        <v>265310</v>
      </c>
    </row>
    <row r="219" spans="1:10" x14ac:dyDescent="0.2">
      <c r="A219" s="8">
        <f t="shared" si="6"/>
        <v>45241</v>
      </c>
      <c r="B219" s="7" t="str">
        <f t="shared" si="7"/>
        <v>218 CHECK</v>
      </c>
      <c r="C219" s="7" t="str">
        <f t="array" ref="C219">IFERROR(INDEX(Mapping!$B$2:$B$22,MATCH('Bank Statement Export'!B219,Mapping!$A$2:$A$22,0)),INDEX(Table3[Category],MATCH(TRUE,ISNUMBER(SEARCH(Table3[Unique ID Contains],B219)),0)))</f>
        <v>Payroll</v>
      </c>
      <c r="D219" s="7" t="str">
        <f>INDEX('Forecast 1'!$B$9:$B$56,MATCH('Bank Statement Export'!C219,'Forecast 1'!$B$9:$B$56,0))</f>
        <v>Payroll</v>
      </c>
      <c r="E219" s="14">
        <v>218</v>
      </c>
      <c r="F219" s="10">
        <v>45240</v>
      </c>
      <c r="G219" s="9">
        <v>79900</v>
      </c>
      <c r="H219" s="9" t="s">
        <v>16</v>
      </c>
      <c r="I219" s="11">
        <v>-520</v>
      </c>
      <c r="J219" s="11">
        <v>264790</v>
      </c>
    </row>
    <row r="220" spans="1:10" x14ac:dyDescent="0.2">
      <c r="A220" s="8">
        <f t="shared" si="6"/>
        <v>45241</v>
      </c>
      <c r="B220" s="7" t="str">
        <f t="shared" si="7"/>
        <v>219 CHECK</v>
      </c>
      <c r="C220" s="7" t="str">
        <f t="array" ref="C220">IFERROR(INDEX(Mapping!$B$2:$B$22,MATCH('Bank Statement Export'!B220,Mapping!$A$2:$A$22,0)),INDEX(Table3[Category],MATCH(TRUE,ISNUMBER(SEARCH(Table3[Unique ID Contains],B220)),0)))</f>
        <v>Payroll</v>
      </c>
      <c r="D220" s="7" t="str">
        <f>INDEX('Forecast 1'!$B$9:$B$56,MATCH('Bank Statement Export'!C220,'Forecast 1'!$B$9:$B$56,0))</f>
        <v>Payroll</v>
      </c>
      <c r="E220" s="14">
        <v>219</v>
      </c>
      <c r="F220" s="10">
        <v>45240</v>
      </c>
      <c r="G220" s="9">
        <v>79901</v>
      </c>
      <c r="H220" s="9" t="s">
        <v>16</v>
      </c>
      <c r="I220" s="11">
        <v>-1020</v>
      </c>
      <c r="J220" s="11">
        <v>263770</v>
      </c>
    </row>
    <row r="221" spans="1:10" x14ac:dyDescent="0.2">
      <c r="A221" s="8">
        <f t="shared" si="6"/>
        <v>45241</v>
      </c>
      <c r="B221" s="7" t="str">
        <f t="shared" si="7"/>
        <v>220 CHECK</v>
      </c>
      <c r="C221" s="7" t="str">
        <f t="array" ref="C221">IFERROR(INDEX(Mapping!$B$2:$B$22,MATCH('Bank Statement Export'!B221,Mapping!$A$2:$A$22,0)),INDEX(Table3[Category],MATCH(TRUE,ISNUMBER(SEARCH(Table3[Unique ID Contains],B221)),0)))</f>
        <v>Payroll</v>
      </c>
      <c r="D221" s="7" t="str">
        <f>INDEX('Forecast 1'!$B$9:$B$56,MATCH('Bank Statement Export'!C221,'Forecast 1'!$B$9:$B$56,0))</f>
        <v>Payroll</v>
      </c>
      <c r="E221" s="14">
        <v>220</v>
      </c>
      <c r="F221" s="10">
        <v>45240</v>
      </c>
      <c r="G221" s="9">
        <v>79902</v>
      </c>
      <c r="H221" s="9" t="s">
        <v>16</v>
      </c>
      <c r="I221" s="11">
        <v>-1190</v>
      </c>
      <c r="J221" s="11">
        <v>262580</v>
      </c>
    </row>
    <row r="222" spans="1:10" x14ac:dyDescent="0.2">
      <c r="A222" s="8">
        <f t="shared" si="6"/>
        <v>45241</v>
      </c>
      <c r="B222" s="7" t="str">
        <f t="shared" si="7"/>
        <v>221 CHECK</v>
      </c>
      <c r="C222" s="7" t="str">
        <f t="array" ref="C222">IFERROR(INDEX(Mapping!$B$2:$B$22,MATCH('Bank Statement Export'!B222,Mapping!$A$2:$A$22,0)),INDEX(Table3[Category],MATCH(TRUE,ISNUMBER(SEARCH(Table3[Unique ID Contains],B222)),0)))</f>
        <v>Payroll</v>
      </c>
      <c r="D222" s="7" t="str">
        <f>INDEX('Forecast 1'!$B$9:$B$56,MATCH('Bank Statement Export'!C222,'Forecast 1'!$B$9:$B$56,0))</f>
        <v>Payroll</v>
      </c>
      <c r="E222" s="14">
        <v>221</v>
      </c>
      <c r="F222" s="10">
        <v>45240</v>
      </c>
      <c r="G222" s="9">
        <v>79903</v>
      </c>
      <c r="H222" s="9" t="s">
        <v>16</v>
      </c>
      <c r="I222" s="11">
        <v>-1130</v>
      </c>
      <c r="J222" s="11">
        <v>261450</v>
      </c>
    </row>
    <row r="223" spans="1:10" x14ac:dyDescent="0.2">
      <c r="A223" s="8">
        <f t="shared" si="6"/>
        <v>45241</v>
      </c>
      <c r="B223" s="7" t="str">
        <f t="shared" si="7"/>
        <v>222 CHECK</v>
      </c>
      <c r="C223" s="7" t="str">
        <f t="array" ref="C223">IFERROR(INDEX(Mapping!$B$2:$B$22,MATCH('Bank Statement Export'!B223,Mapping!$A$2:$A$22,0)),INDEX(Table3[Category],MATCH(TRUE,ISNUMBER(SEARCH(Table3[Unique ID Contains],B223)),0)))</f>
        <v>Payroll</v>
      </c>
      <c r="D223" s="7" t="str">
        <f>INDEX('Forecast 1'!$B$9:$B$56,MATCH('Bank Statement Export'!C223,'Forecast 1'!$B$9:$B$56,0))</f>
        <v>Payroll</v>
      </c>
      <c r="E223" s="14">
        <v>222</v>
      </c>
      <c r="F223" s="10">
        <v>45240</v>
      </c>
      <c r="G223" s="9">
        <v>79904</v>
      </c>
      <c r="H223" s="9" t="s">
        <v>16</v>
      </c>
      <c r="I223" s="11">
        <v>-1420</v>
      </c>
      <c r="J223" s="11">
        <v>260030</v>
      </c>
    </row>
    <row r="224" spans="1:10" x14ac:dyDescent="0.2">
      <c r="A224" s="8">
        <f t="shared" si="6"/>
        <v>45241</v>
      </c>
      <c r="B224" s="7" t="str">
        <f t="shared" si="7"/>
        <v>223 CHECK</v>
      </c>
      <c r="C224" s="7" t="str">
        <f t="array" ref="C224">IFERROR(INDEX(Mapping!$B$2:$B$22,MATCH('Bank Statement Export'!B224,Mapping!$A$2:$A$22,0)),INDEX(Table3[Category],MATCH(TRUE,ISNUMBER(SEARCH(Table3[Unique ID Contains],B224)),0)))</f>
        <v>Payroll</v>
      </c>
      <c r="D224" s="7" t="str">
        <f>INDEX('Forecast 1'!$B$9:$B$56,MATCH('Bank Statement Export'!C224,'Forecast 1'!$B$9:$B$56,0))</f>
        <v>Payroll</v>
      </c>
      <c r="E224" s="14">
        <v>223</v>
      </c>
      <c r="F224" s="10">
        <v>45240</v>
      </c>
      <c r="G224" s="9">
        <v>79905</v>
      </c>
      <c r="H224" s="9" t="s">
        <v>16</v>
      </c>
      <c r="I224" s="11">
        <v>-1020</v>
      </c>
      <c r="J224" s="11">
        <v>259010</v>
      </c>
    </row>
    <row r="225" spans="1:10" x14ac:dyDescent="0.2">
      <c r="A225" s="8">
        <f t="shared" si="6"/>
        <v>45241</v>
      </c>
      <c r="B225" s="7" t="str">
        <f t="shared" si="7"/>
        <v>224 CHECK</v>
      </c>
      <c r="C225" s="7" t="str">
        <f t="array" ref="C225">IFERROR(INDEX(Mapping!$B$2:$B$22,MATCH('Bank Statement Export'!B225,Mapping!$A$2:$A$22,0)),INDEX(Table3[Category],MATCH(TRUE,ISNUMBER(SEARCH(Table3[Unique ID Contains],B225)),0)))</f>
        <v>Payroll</v>
      </c>
      <c r="D225" s="7" t="str">
        <f>INDEX('Forecast 1'!$B$9:$B$56,MATCH('Bank Statement Export'!C225,'Forecast 1'!$B$9:$B$56,0))</f>
        <v>Payroll</v>
      </c>
      <c r="E225" s="14">
        <v>224</v>
      </c>
      <c r="F225" s="10">
        <v>45240</v>
      </c>
      <c r="G225" s="9">
        <v>79906</v>
      </c>
      <c r="H225" s="9" t="s">
        <v>16</v>
      </c>
      <c r="I225" s="11">
        <v>-1500</v>
      </c>
      <c r="J225" s="11">
        <v>257510</v>
      </c>
    </row>
    <row r="226" spans="1:10" x14ac:dyDescent="0.2">
      <c r="A226" s="8">
        <f t="shared" si="6"/>
        <v>45241</v>
      </c>
      <c r="B226" s="7" t="str">
        <f t="shared" si="7"/>
        <v>225 CHECK</v>
      </c>
      <c r="C226" s="7" t="str">
        <f t="array" ref="C226">IFERROR(INDEX(Mapping!$B$2:$B$22,MATCH('Bank Statement Export'!B226,Mapping!$A$2:$A$22,0)),INDEX(Table3[Category],MATCH(TRUE,ISNUMBER(SEARCH(Table3[Unique ID Contains],B226)),0)))</f>
        <v>Payroll</v>
      </c>
      <c r="D226" s="7" t="str">
        <f>INDEX('Forecast 1'!$B$9:$B$56,MATCH('Bank Statement Export'!C226,'Forecast 1'!$B$9:$B$56,0))</f>
        <v>Payroll</v>
      </c>
      <c r="E226" s="14">
        <v>225</v>
      </c>
      <c r="F226" s="10">
        <v>45240</v>
      </c>
      <c r="G226" s="9">
        <v>79907</v>
      </c>
      <c r="H226" s="9" t="s">
        <v>16</v>
      </c>
      <c r="I226" s="11">
        <v>-1320</v>
      </c>
      <c r="J226" s="11">
        <v>256190</v>
      </c>
    </row>
    <row r="227" spans="1:10" x14ac:dyDescent="0.2">
      <c r="A227" s="8">
        <f t="shared" si="6"/>
        <v>45241</v>
      </c>
      <c r="B227" s="7" t="str">
        <f t="shared" si="7"/>
        <v>226 CHECK</v>
      </c>
      <c r="C227" s="7" t="str">
        <f t="array" ref="C227">IFERROR(INDEX(Mapping!$B$2:$B$22,MATCH('Bank Statement Export'!B227,Mapping!$A$2:$A$22,0)),INDEX(Table3[Category],MATCH(TRUE,ISNUMBER(SEARCH(Table3[Unique ID Contains],B227)),0)))</f>
        <v>Payroll</v>
      </c>
      <c r="D227" s="7" t="str">
        <f>INDEX('Forecast 1'!$B$9:$B$56,MATCH('Bank Statement Export'!C227,'Forecast 1'!$B$9:$B$56,0))</f>
        <v>Payroll</v>
      </c>
      <c r="E227" s="14">
        <v>226</v>
      </c>
      <c r="F227" s="10">
        <v>45240</v>
      </c>
      <c r="G227" s="9">
        <v>79908</v>
      </c>
      <c r="H227" s="9" t="s">
        <v>16</v>
      </c>
      <c r="I227" s="11">
        <v>-1060</v>
      </c>
      <c r="J227" s="11">
        <v>255130</v>
      </c>
    </row>
    <row r="228" spans="1:10" x14ac:dyDescent="0.2">
      <c r="A228" s="8">
        <f t="shared" si="6"/>
        <v>45241</v>
      </c>
      <c r="B228" s="7" t="str">
        <f t="shared" si="7"/>
        <v>227 CHECK</v>
      </c>
      <c r="C228" s="7" t="str">
        <f t="array" ref="C228">IFERROR(INDEX(Mapping!$B$2:$B$22,MATCH('Bank Statement Export'!B228,Mapping!$A$2:$A$22,0)),INDEX(Table3[Category],MATCH(TRUE,ISNUMBER(SEARCH(Table3[Unique ID Contains],B228)),0)))</f>
        <v>Payroll</v>
      </c>
      <c r="D228" s="7" t="str">
        <f>INDEX('Forecast 1'!$B$9:$B$56,MATCH('Bank Statement Export'!C228,'Forecast 1'!$B$9:$B$56,0))</f>
        <v>Payroll</v>
      </c>
      <c r="E228" s="14">
        <v>227</v>
      </c>
      <c r="F228" s="10">
        <v>45240</v>
      </c>
      <c r="G228" s="9">
        <v>79909</v>
      </c>
      <c r="H228" s="9" t="s">
        <v>16</v>
      </c>
      <c r="I228" s="11">
        <v>-970</v>
      </c>
      <c r="J228" s="11">
        <v>254160</v>
      </c>
    </row>
    <row r="229" spans="1:10" x14ac:dyDescent="0.2">
      <c r="A229" s="8">
        <f t="shared" si="6"/>
        <v>45241</v>
      </c>
      <c r="B229" s="7" t="str">
        <f t="shared" si="7"/>
        <v>228 CHECK</v>
      </c>
      <c r="C229" s="7" t="str">
        <f t="array" ref="C229">IFERROR(INDEX(Mapping!$B$2:$B$22,MATCH('Bank Statement Export'!B229,Mapping!$A$2:$A$22,0)),INDEX(Table3[Category],MATCH(TRUE,ISNUMBER(SEARCH(Table3[Unique ID Contains],B229)),0)))</f>
        <v>Payroll</v>
      </c>
      <c r="D229" s="7" t="str">
        <f>INDEX('Forecast 1'!$B$9:$B$56,MATCH('Bank Statement Export'!C229,'Forecast 1'!$B$9:$B$56,0))</f>
        <v>Payroll</v>
      </c>
      <c r="E229" s="14">
        <v>228</v>
      </c>
      <c r="F229" s="10">
        <v>45240</v>
      </c>
      <c r="G229" s="9">
        <v>79910</v>
      </c>
      <c r="H229" s="9" t="s">
        <v>16</v>
      </c>
      <c r="I229" s="11">
        <v>-970</v>
      </c>
      <c r="J229" s="11">
        <v>253190</v>
      </c>
    </row>
    <row r="230" spans="1:10" x14ac:dyDescent="0.2">
      <c r="A230" s="8">
        <f t="shared" si="6"/>
        <v>45241</v>
      </c>
      <c r="B230" s="7" t="str">
        <f t="shared" si="7"/>
        <v>229 CHECK</v>
      </c>
      <c r="C230" s="7" t="str">
        <f t="array" ref="C230">IFERROR(INDEX(Mapping!$B$2:$B$22,MATCH('Bank Statement Export'!B230,Mapping!$A$2:$A$22,0)),INDEX(Table3[Category],MATCH(TRUE,ISNUMBER(SEARCH(Table3[Unique ID Contains],B230)),0)))</f>
        <v>Payroll</v>
      </c>
      <c r="D230" s="7" t="str">
        <f>INDEX('Forecast 1'!$B$9:$B$56,MATCH('Bank Statement Export'!C230,'Forecast 1'!$B$9:$B$56,0))</f>
        <v>Payroll</v>
      </c>
      <c r="E230" s="14">
        <v>229</v>
      </c>
      <c r="F230" s="10">
        <v>45240</v>
      </c>
      <c r="G230" s="9">
        <v>79911</v>
      </c>
      <c r="H230" s="9" t="s">
        <v>16</v>
      </c>
      <c r="I230" s="11">
        <v>-970</v>
      </c>
      <c r="J230" s="11">
        <v>252220</v>
      </c>
    </row>
    <row r="231" spans="1:10" x14ac:dyDescent="0.2">
      <c r="A231" s="8">
        <f t="shared" si="6"/>
        <v>45241</v>
      </c>
      <c r="B231" s="7" t="str">
        <f t="shared" si="7"/>
        <v>230 CHECK</v>
      </c>
      <c r="C231" s="7" t="str">
        <f t="array" ref="C231">IFERROR(INDEX(Mapping!$B$2:$B$22,MATCH('Bank Statement Export'!B231,Mapping!$A$2:$A$22,0)),INDEX(Table3[Category],MATCH(TRUE,ISNUMBER(SEARCH(Table3[Unique ID Contains],B231)),0)))</f>
        <v>Payroll</v>
      </c>
      <c r="D231" s="7" t="str">
        <f>INDEX('Forecast 1'!$B$9:$B$56,MATCH('Bank Statement Export'!C231,'Forecast 1'!$B$9:$B$56,0))</f>
        <v>Payroll</v>
      </c>
      <c r="E231" s="14">
        <v>230</v>
      </c>
      <c r="F231" s="10">
        <v>45240</v>
      </c>
      <c r="G231" s="9">
        <v>79912</v>
      </c>
      <c r="H231" s="9" t="s">
        <v>16</v>
      </c>
      <c r="I231" s="11">
        <v>-1220</v>
      </c>
      <c r="J231" s="11">
        <v>251000</v>
      </c>
    </row>
    <row r="232" spans="1:10" x14ac:dyDescent="0.2">
      <c r="A232" s="8">
        <f t="shared" si="6"/>
        <v>45241</v>
      </c>
      <c r="B232" s="7" t="str">
        <f t="shared" si="7"/>
        <v>231 CHECK</v>
      </c>
      <c r="C232" s="7" t="str">
        <f t="array" ref="C232">IFERROR(INDEX(Mapping!$B$2:$B$22,MATCH('Bank Statement Export'!B232,Mapping!$A$2:$A$22,0)),INDEX(Table3[Category],MATCH(TRUE,ISNUMBER(SEARCH(Table3[Unique ID Contains],B232)),0)))</f>
        <v>Payroll</v>
      </c>
      <c r="D232" s="7" t="str">
        <f>INDEX('Forecast 1'!$B$9:$B$56,MATCH('Bank Statement Export'!C232,'Forecast 1'!$B$9:$B$56,0))</f>
        <v>Payroll</v>
      </c>
      <c r="E232" s="14">
        <v>231</v>
      </c>
      <c r="F232" s="10">
        <v>45240</v>
      </c>
      <c r="G232" s="9">
        <v>79913</v>
      </c>
      <c r="H232" s="9" t="s">
        <v>16</v>
      </c>
      <c r="I232" s="11">
        <v>-1560</v>
      </c>
      <c r="J232" s="11">
        <v>249440</v>
      </c>
    </row>
    <row r="233" spans="1:10" x14ac:dyDescent="0.2">
      <c r="A233" s="8">
        <f t="shared" si="6"/>
        <v>45241</v>
      </c>
      <c r="B233" s="7" t="str">
        <f t="shared" si="7"/>
        <v>232 CHECK</v>
      </c>
      <c r="C233" s="7" t="str">
        <f t="array" ref="C233">IFERROR(INDEX(Mapping!$B$2:$B$22,MATCH('Bank Statement Export'!B233,Mapping!$A$2:$A$22,0)),INDEX(Table3[Category],MATCH(TRUE,ISNUMBER(SEARCH(Table3[Unique ID Contains],B233)),0)))</f>
        <v>Payroll</v>
      </c>
      <c r="D233" s="7" t="str">
        <f>INDEX('Forecast 1'!$B$9:$B$56,MATCH('Bank Statement Export'!C233,'Forecast 1'!$B$9:$B$56,0))</f>
        <v>Payroll</v>
      </c>
      <c r="E233" s="14">
        <v>232</v>
      </c>
      <c r="F233" s="10">
        <v>45240</v>
      </c>
      <c r="G233" s="9">
        <v>79914</v>
      </c>
      <c r="H233" s="9" t="s">
        <v>16</v>
      </c>
      <c r="I233" s="11">
        <v>-1120</v>
      </c>
      <c r="J233" s="11">
        <v>248320</v>
      </c>
    </row>
    <row r="234" spans="1:10" x14ac:dyDescent="0.2">
      <c r="A234" s="8">
        <f t="shared" si="6"/>
        <v>45241</v>
      </c>
      <c r="B234" s="7" t="str">
        <f t="shared" si="7"/>
        <v>233 CHECK</v>
      </c>
      <c r="C234" s="7" t="str">
        <f t="array" ref="C234">IFERROR(INDEX(Mapping!$B$2:$B$22,MATCH('Bank Statement Export'!B234,Mapping!$A$2:$A$22,0)),INDEX(Table3[Category],MATCH(TRUE,ISNUMBER(SEARCH(Table3[Unique ID Contains],B234)),0)))</f>
        <v>Payroll</v>
      </c>
      <c r="D234" s="7" t="str">
        <f>INDEX('Forecast 1'!$B$9:$B$56,MATCH('Bank Statement Export'!C234,'Forecast 1'!$B$9:$B$56,0))</f>
        <v>Payroll</v>
      </c>
      <c r="E234" s="14">
        <v>233</v>
      </c>
      <c r="F234" s="10">
        <v>45240</v>
      </c>
      <c r="G234" s="9">
        <v>79915</v>
      </c>
      <c r="H234" s="9" t="s">
        <v>16</v>
      </c>
      <c r="I234" s="11">
        <v>-940</v>
      </c>
      <c r="J234" s="11">
        <v>247380</v>
      </c>
    </row>
    <row r="235" spans="1:10" x14ac:dyDescent="0.2">
      <c r="A235" s="8">
        <f t="shared" si="6"/>
        <v>45241</v>
      </c>
      <c r="B235" s="7" t="str">
        <f t="shared" si="7"/>
        <v>234 CHECK</v>
      </c>
      <c r="C235" s="7" t="str">
        <f t="array" ref="C235">IFERROR(INDEX(Mapping!$B$2:$B$22,MATCH('Bank Statement Export'!B235,Mapping!$A$2:$A$22,0)),INDEX(Table3[Category],MATCH(TRUE,ISNUMBER(SEARCH(Table3[Unique ID Contains],B235)),0)))</f>
        <v>Payroll</v>
      </c>
      <c r="D235" s="7" t="str">
        <f>INDEX('Forecast 1'!$B$9:$B$56,MATCH('Bank Statement Export'!C235,'Forecast 1'!$B$9:$B$56,0))</f>
        <v>Payroll</v>
      </c>
      <c r="E235" s="14">
        <v>234</v>
      </c>
      <c r="F235" s="10">
        <v>45240</v>
      </c>
      <c r="G235" s="9">
        <v>79916</v>
      </c>
      <c r="H235" s="9" t="s">
        <v>16</v>
      </c>
      <c r="I235" s="11">
        <v>-1160</v>
      </c>
      <c r="J235" s="11">
        <v>246220</v>
      </c>
    </row>
    <row r="236" spans="1:10" x14ac:dyDescent="0.2">
      <c r="A236" s="8">
        <f t="shared" si="6"/>
        <v>45241</v>
      </c>
      <c r="B236" s="7" t="str">
        <f t="shared" si="7"/>
        <v>235 CHECK</v>
      </c>
      <c r="C236" s="7" t="str">
        <f t="array" ref="C236">IFERROR(INDEX(Mapping!$B$2:$B$22,MATCH('Bank Statement Export'!B236,Mapping!$A$2:$A$22,0)),INDEX(Table3[Category],MATCH(TRUE,ISNUMBER(SEARCH(Table3[Unique ID Contains],B236)),0)))</f>
        <v>Payroll</v>
      </c>
      <c r="D236" s="7" t="str">
        <f>INDEX('Forecast 1'!$B$9:$B$56,MATCH('Bank Statement Export'!C236,'Forecast 1'!$B$9:$B$56,0))</f>
        <v>Payroll</v>
      </c>
      <c r="E236" s="14">
        <v>235</v>
      </c>
      <c r="F236" s="10">
        <v>45240</v>
      </c>
      <c r="G236" s="9">
        <v>79917</v>
      </c>
      <c r="H236" s="9" t="s">
        <v>16</v>
      </c>
      <c r="I236" s="11">
        <v>-1220</v>
      </c>
      <c r="J236" s="11">
        <v>245000</v>
      </c>
    </row>
    <row r="237" spans="1:10" x14ac:dyDescent="0.2">
      <c r="A237" s="8">
        <f t="shared" si="6"/>
        <v>45241</v>
      </c>
      <c r="B237" s="7" t="str">
        <f t="shared" si="7"/>
        <v>236 CHECK</v>
      </c>
      <c r="C237" s="7" t="str">
        <f t="array" ref="C237">IFERROR(INDEX(Mapping!$B$2:$B$22,MATCH('Bank Statement Export'!B237,Mapping!$A$2:$A$22,0)),INDEX(Table3[Category],MATCH(TRUE,ISNUMBER(SEARCH(Table3[Unique ID Contains],B237)),0)))</f>
        <v>Payroll</v>
      </c>
      <c r="D237" s="7" t="str">
        <f>INDEX('Forecast 1'!$B$9:$B$56,MATCH('Bank Statement Export'!C237,'Forecast 1'!$B$9:$B$56,0))</f>
        <v>Payroll</v>
      </c>
      <c r="E237" s="14">
        <v>236</v>
      </c>
      <c r="F237" s="10">
        <v>45240</v>
      </c>
      <c r="G237" s="9">
        <v>79918</v>
      </c>
      <c r="H237" s="9" t="s">
        <v>16</v>
      </c>
      <c r="I237" s="11">
        <v>-1160</v>
      </c>
      <c r="J237" s="11">
        <v>243840</v>
      </c>
    </row>
    <row r="238" spans="1:10" x14ac:dyDescent="0.2">
      <c r="A238" s="8">
        <f t="shared" si="6"/>
        <v>45241</v>
      </c>
      <c r="B238" s="7" t="str">
        <f t="shared" si="7"/>
        <v>237 CHECK</v>
      </c>
      <c r="C238" s="7" t="str">
        <f t="array" ref="C238">IFERROR(INDEX(Mapping!$B$2:$B$22,MATCH('Bank Statement Export'!B238,Mapping!$A$2:$A$22,0)),INDEX(Table3[Category],MATCH(TRUE,ISNUMBER(SEARCH(Table3[Unique ID Contains],B238)),0)))</f>
        <v>Payroll</v>
      </c>
      <c r="D238" s="7" t="str">
        <f>INDEX('Forecast 1'!$B$9:$B$56,MATCH('Bank Statement Export'!C238,'Forecast 1'!$B$9:$B$56,0))</f>
        <v>Payroll</v>
      </c>
      <c r="E238" s="14">
        <v>237</v>
      </c>
      <c r="F238" s="10">
        <v>45240</v>
      </c>
      <c r="G238" s="9">
        <v>79919</v>
      </c>
      <c r="H238" s="9" t="s">
        <v>16</v>
      </c>
      <c r="I238" s="11">
        <v>-770</v>
      </c>
      <c r="J238" s="11">
        <v>243070</v>
      </c>
    </row>
    <row r="239" spans="1:10" x14ac:dyDescent="0.2">
      <c r="A239" s="8">
        <f t="shared" si="6"/>
        <v>45241</v>
      </c>
      <c r="B239" s="7" t="str">
        <f t="shared" si="7"/>
        <v>238 CHECK</v>
      </c>
      <c r="C239" s="7" t="str">
        <f t="array" ref="C239">IFERROR(INDEX(Mapping!$B$2:$B$22,MATCH('Bank Statement Export'!B239,Mapping!$A$2:$A$22,0)),INDEX(Table3[Category],MATCH(TRUE,ISNUMBER(SEARCH(Table3[Unique ID Contains],B239)),0)))</f>
        <v>Payroll</v>
      </c>
      <c r="D239" s="7" t="str">
        <f>INDEX('Forecast 1'!$B$9:$B$56,MATCH('Bank Statement Export'!C239,'Forecast 1'!$B$9:$B$56,0))</f>
        <v>Payroll</v>
      </c>
      <c r="E239" s="14">
        <v>238</v>
      </c>
      <c r="F239" s="10">
        <v>45240</v>
      </c>
      <c r="G239" s="9">
        <v>79920</v>
      </c>
      <c r="H239" s="9" t="s">
        <v>16</v>
      </c>
      <c r="I239" s="11">
        <v>-1580</v>
      </c>
      <c r="J239" s="11">
        <v>241490</v>
      </c>
    </row>
    <row r="240" spans="1:10" x14ac:dyDescent="0.2">
      <c r="A240" s="8">
        <f t="shared" si="6"/>
        <v>45241</v>
      </c>
      <c r="B240" s="7" t="str">
        <f t="shared" si="7"/>
        <v>239 CHECK</v>
      </c>
      <c r="C240" s="7" t="str">
        <f t="array" ref="C240">IFERROR(INDEX(Mapping!$B$2:$B$22,MATCH('Bank Statement Export'!B240,Mapping!$A$2:$A$22,0)),INDEX(Table3[Category],MATCH(TRUE,ISNUMBER(SEARCH(Table3[Unique ID Contains],B240)),0)))</f>
        <v>Payroll</v>
      </c>
      <c r="D240" s="7" t="str">
        <f>INDEX('Forecast 1'!$B$9:$B$56,MATCH('Bank Statement Export'!C240,'Forecast 1'!$B$9:$B$56,0))</f>
        <v>Payroll</v>
      </c>
      <c r="E240" s="14">
        <v>239</v>
      </c>
      <c r="F240" s="10">
        <v>45240</v>
      </c>
      <c r="G240" s="9">
        <v>79924</v>
      </c>
      <c r="H240" s="9" t="s">
        <v>16</v>
      </c>
      <c r="I240" s="11">
        <v>-1320</v>
      </c>
      <c r="J240" s="11">
        <v>240170</v>
      </c>
    </row>
    <row r="241" spans="1:10" x14ac:dyDescent="0.2">
      <c r="A241" s="8">
        <f t="shared" si="6"/>
        <v>45241</v>
      </c>
      <c r="B241" s="7" t="str">
        <f t="shared" si="7"/>
        <v>240 CHECK</v>
      </c>
      <c r="C241" s="7" t="str">
        <f t="array" ref="C241">IFERROR(INDEX(Mapping!$B$2:$B$22,MATCH('Bank Statement Export'!B241,Mapping!$A$2:$A$22,0)),INDEX(Table3[Category],MATCH(TRUE,ISNUMBER(SEARCH(Table3[Unique ID Contains],B241)),0)))</f>
        <v>Payroll</v>
      </c>
      <c r="D241" s="7" t="str">
        <f>INDEX('Forecast 1'!$B$9:$B$56,MATCH('Bank Statement Export'!C241,'Forecast 1'!$B$9:$B$56,0))</f>
        <v>Payroll</v>
      </c>
      <c r="E241" s="14">
        <v>240</v>
      </c>
      <c r="F241" s="10">
        <v>45240</v>
      </c>
      <c r="G241" s="9">
        <v>79925</v>
      </c>
      <c r="H241" s="9" t="s">
        <v>16</v>
      </c>
      <c r="I241" s="11">
        <v>-1060</v>
      </c>
      <c r="J241" s="11">
        <v>239110</v>
      </c>
    </row>
    <row r="242" spans="1:10" x14ac:dyDescent="0.2">
      <c r="A242" s="8">
        <f t="shared" si="6"/>
        <v>45248</v>
      </c>
      <c r="B242" s="7" t="str">
        <f t="shared" si="7"/>
        <v>241 WEB AUTHORIZED PMT KRYPTONIX</v>
      </c>
      <c r="C242" s="7" t="str">
        <f t="array" ref="C242">IFERROR(INDEX(Mapping!$B$2:$B$22,MATCH('Bank Statement Export'!B242,Mapping!$A$2:$A$22,0)),INDEX(Table3[Category],MATCH(TRUE,ISNUMBER(SEARCH(Table3[Unique ID Contains],B242)),0)))</f>
        <v>Dues &amp; Subscriptions</v>
      </c>
      <c r="D242" s="7" t="str">
        <f>INDEX('Forecast 1'!$B$9:$B$56,MATCH('Bank Statement Export'!C242,'Forecast 1'!$B$9:$B$56,0))</f>
        <v>Dues &amp; Subscriptions</v>
      </c>
      <c r="E242" s="14">
        <v>241</v>
      </c>
      <c r="F242" s="10">
        <v>45243</v>
      </c>
      <c r="G242" s="9" t="s">
        <v>14</v>
      </c>
      <c r="H242" s="9" t="s">
        <v>15</v>
      </c>
      <c r="I242" s="11">
        <v>-80</v>
      </c>
      <c r="J242" s="11">
        <v>239030</v>
      </c>
    </row>
    <row r="243" spans="1:10" x14ac:dyDescent="0.2">
      <c r="A243" s="8">
        <f t="shared" si="6"/>
        <v>45248</v>
      </c>
      <c r="B243" s="7" t="str">
        <f t="shared" si="7"/>
        <v>242 WEB AUTHORIZED PMT KRYPTONIX</v>
      </c>
      <c r="C243" s="7" t="str">
        <f t="array" ref="C243">IFERROR(INDEX(Mapping!$B$2:$B$22,MATCH('Bank Statement Export'!B243,Mapping!$A$2:$A$22,0)),INDEX(Table3[Category],MATCH(TRUE,ISNUMBER(SEARCH(Table3[Unique ID Contains],B243)),0)))</f>
        <v>Dues &amp; Subscriptions</v>
      </c>
      <c r="D243" s="7" t="str">
        <f>INDEX('Forecast 1'!$B$9:$B$56,MATCH('Bank Statement Export'!C243,'Forecast 1'!$B$9:$B$56,0))</f>
        <v>Dues &amp; Subscriptions</v>
      </c>
      <c r="E243" s="14">
        <v>242</v>
      </c>
      <c r="F243" s="10">
        <v>45243</v>
      </c>
      <c r="G243" s="9" t="s">
        <v>14</v>
      </c>
      <c r="H243" s="9" t="s">
        <v>15</v>
      </c>
      <c r="I243" s="11">
        <v>-230</v>
      </c>
      <c r="J243" s="11">
        <v>238800</v>
      </c>
    </row>
    <row r="244" spans="1:10" x14ac:dyDescent="0.2">
      <c r="A244" s="8">
        <f t="shared" si="6"/>
        <v>45248</v>
      </c>
      <c r="B244" s="7" t="str">
        <f t="shared" si="7"/>
        <v>243 ELECTRONIC WITHDRAWAL JUNCTIX</v>
      </c>
      <c r="C244" s="7" t="str">
        <f t="array" ref="C244">IFERROR(INDEX(Mapping!$B$2:$B$22,MATCH('Bank Statement Export'!B244,Mapping!$A$2:$A$22,0)),INDEX(Table3[Category],MATCH(TRUE,ISNUMBER(SEARCH(Table3[Unique ID Contains],B244)),0)))</f>
        <v>Other Non-operating Outflows</v>
      </c>
      <c r="D244" s="7" t="str">
        <f>INDEX('Forecast 1'!$B$9:$B$56,MATCH('Bank Statement Export'!C244,'Forecast 1'!$B$9:$B$56,0))</f>
        <v>Other Non-operating Outflows</v>
      </c>
      <c r="E244" s="14">
        <v>243</v>
      </c>
      <c r="F244" s="10">
        <v>45243</v>
      </c>
      <c r="G244" s="9" t="s">
        <v>14</v>
      </c>
      <c r="H244" s="9" t="s">
        <v>36</v>
      </c>
      <c r="I244" s="11">
        <v>-1140</v>
      </c>
      <c r="J244" s="11">
        <v>237660</v>
      </c>
    </row>
    <row r="245" spans="1:10" x14ac:dyDescent="0.2">
      <c r="A245" s="8">
        <f t="shared" si="6"/>
        <v>45248</v>
      </c>
      <c r="B245" s="7" t="str">
        <f t="shared" si="7"/>
        <v>244 CHECK</v>
      </c>
      <c r="C245" s="7" t="str">
        <f t="array" ref="C245">IFERROR(INDEX(Mapping!$B$2:$B$22,MATCH('Bank Statement Export'!B245,Mapping!$A$2:$A$22,0)),INDEX(Table3[Category],MATCH(TRUE,ISNUMBER(SEARCH(Table3[Unique ID Contains],B245)),0)))</f>
        <v>Payroll</v>
      </c>
      <c r="D245" s="7" t="str">
        <f>INDEX('Forecast 1'!$B$9:$B$56,MATCH('Bank Statement Export'!C245,'Forecast 1'!$B$9:$B$56,0))</f>
        <v>Payroll</v>
      </c>
      <c r="E245" s="14">
        <v>244</v>
      </c>
      <c r="F245" s="10">
        <v>45243</v>
      </c>
      <c r="G245" s="9">
        <v>79777</v>
      </c>
      <c r="H245" s="9" t="s">
        <v>16</v>
      </c>
      <c r="I245" s="11">
        <v>-1610</v>
      </c>
      <c r="J245" s="11">
        <v>236050</v>
      </c>
    </row>
    <row r="246" spans="1:10" x14ac:dyDescent="0.2">
      <c r="A246" s="8">
        <f t="shared" si="6"/>
        <v>45248</v>
      </c>
      <c r="B246" s="7" t="str">
        <f t="shared" si="7"/>
        <v>245 CHECK</v>
      </c>
      <c r="C246" s="7" t="str">
        <f t="array" ref="C246">IFERROR(INDEX(Mapping!$B$2:$B$22,MATCH('Bank Statement Export'!B246,Mapping!$A$2:$A$22,0)),INDEX(Table3[Category],MATCH(TRUE,ISNUMBER(SEARCH(Table3[Unique ID Contains],B246)),0)))</f>
        <v>Accounts Payable</v>
      </c>
      <c r="D246" s="7" t="str">
        <f>INDEX('Forecast 1'!$B$9:$B$56,MATCH('Bank Statement Export'!C246,'Forecast 1'!$B$9:$B$56,0))</f>
        <v>Accounts Payable</v>
      </c>
      <c r="E246" s="14">
        <v>245</v>
      </c>
      <c r="F246" s="10">
        <v>45243</v>
      </c>
      <c r="G246" s="9">
        <v>79801</v>
      </c>
      <c r="H246" s="9" t="s">
        <v>16</v>
      </c>
      <c r="I246" s="11">
        <v>-4230</v>
      </c>
      <c r="J246" s="11">
        <v>231820</v>
      </c>
    </row>
    <row r="247" spans="1:10" x14ac:dyDescent="0.2">
      <c r="A247" s="8">
        <f t="shared" si="6"/>
        <v>45248</v>
      </c>
      <c r="B247" s="7" t="str">
        <f t="shared" si="7"/>
        <v>246 CHECK</v>
      </c>
      <c r="C247" s="7" t="str">
        <f t="array" ref="C247">IFERROR(INDEX(Mapping!$B$2:$B$22,MATCH('Bank Statement Export'!B247,Mapping!$A$2:$A$22,0)),INDEX(Table3[Category],MATCH(TRUE,ISNUMBER(SEARCH(Table3[Unique ID Contains],B247)),0)))</f>
        <v>Payroll</v>
      </c>
      <c r="D247" s="7" t="str">
        <f>INDEX('Forecast 1'!$B$9:$B$56,MATCH('Bank Statement Export'!C247,'Forecast 1'!$B$9:$B$56,0))</f>
        <v>Payroll</v>
      </c>
      <c r="E247" s="14">
        <v>246</v>
      </c>
      <c r="F247" s="10">
        <v>45243</v>
      </c>
      <c r="G247" s="9">
        <v>79889</v>
      </c>
      <c r="H247" s="9" t="s">
        <v>16</v>
      </c>
      <c r="I247" s="11">
        <v>-1370</v>
      </c>
      <c r="J247" s="11">
        <v>230450</v>
      </c>
    </row>
    <row r="248" spans="1:10" x14ac:dyDescent="0.2">
      <c r="A248" s="8">
        <f t="shared" si="6"/>
        <v>45248</v>
      </c>
      <c r="B248" s="7" t="str">
        <f t="shared" si="7"/>
        <v>247 CHECK</v>
      </c>
      <c r="C248" s="7" t="str">
        <f t="array" ref="C248">IFERROR(INDEX(Mapping!$B$2:$B$22,MATCH('Bank Statement Export'!B248,Mapping!$A$2:$A$22,0)),INDEX(Table3[Category],MATCH(TRUE,ISNUMBER(SEARCH(Table3[Unique ID Contains],B248)),0)))</f>
        <v>Payroll</v>
      </c>
      <c r="D248" s="7" t="str">
        <f>INDEX('Forecast 1'!$B$9:$B$56,MATCH('Bank Statement Export'!C248,'Forecast 1'!$B$9:$B$56,0))</f>
        <v>Payroll</v>
      </c>
      <c r="E248" s="14">
        <v>247</v>
      </c>
      <c r="F248" s="10">
        <v>45243</v>
      </c>
      <c r="G248" s="9">
        <v>79899</v>
      </c>
      <c r="H248" s="9" t="s">
        <v>16</v>
      </c>
      <c r="I248" s="11">
        <v>-720</v>
      </c>
      <c r="J248" s="11">
        <v>229730</v>
      </c>
    </row>
    <row r="249" spans="1:10" x14ac:dyDescent="0.2">
      <c r="A249" s="8">
        <f t="shared" si="6"/>
        <v>45248</v>
      </c>
      <c r="B249" s="7" t="str">
        <f t="shared" si="7"/>
        <v>248 CHECK</v>
      </c>
      <c r="C249" s="7" t="str">
        <f t="array" ref="C249">IFERROR(INDEX(Mapping!$B$2:$B$22,MATCH('Bank Statement Export'!B249,Mapping!$A$2:$A$22,0)),INDEX(Table3[Category],MATCH(TRUE,ISNUMBER(SEARCH(Table3[Unique ID Contains],B249)),0)))</f>
        <v>Payroll</v>
      </c>
      <c r="D249" s="7" t="str">
        <f>INDEX('Forecast 1'!$B$9:$B$56,MATCH('Bank Statement Export'!C249,'Forecast 1'!$B$9:$B$56,0))</f>
        <v>Payroll</v>
      </c>
      <c r="E249" s="14">
        <v>248</v>
      </c>
      <c r="F249" s="10">
        <v>45243</v>
      </c>
      <c r="G249" s="9">
        <v>79922</v>
      </c>
      <c r="H249" s="9" t="s">
        <v>16</v>
      </c>
      <c r="I249" s="11">
        <v>-100</v>
      </c>
      <c r="J249" s="11">
        <v>229630</v>
      </c>
    </row>
    <row r="250" spans="1:10" x14ac:dyDescent="0.2">
      <c r="A250" s="8">
        <f t="shared" si="6"/>
        <v>45248</v>
      </c>
      <c r="B250" s="7" t="str">
        <f t="shared" si="7"/>
        <v>249 CHECK</v>
      </c>
      <c r="C250" s="7" t="str">
        <f t="array" ref="C250">IFERROR(INDEX(Mapping!$B$2:$B$22,MATCH('Bank Statement Export'!B250,Mapping!$A$2:$A$22,0)),INDEX(Table3[Category],MATCH(TRUE,ISNUMBER(SEARCH(Table3[Unique ID Contains],B250)),0)))</f>
        <v>Payroll</v>
      </c>
      <c r="D250" s="7" t="str">
        <f>INDEX('Forecast 1'!$B$9:$B$56,MATCH('Bank Statement Export'!C250,'Forecast 1'!$B$9:$B$56,0))</f>
        <v>Payroll</v>
      </c>
      <c r="E250" s="14">
        <v>249</v>
      </c>
      <c r="F250" s="10">
        <v>45244</v>
      </c>
      <c r="G250" s="9">
        <v>79791</v>
      </c>
      <c r="H250" s="9" t="s">
        <v>16</v>
      </c>
      <c r="I250" s="11">
        <v>-200</v>
      </c>
      <c r="J250" s="11">
        <v>229430</v>
      </c>
    </row>
    <row r="251" spans="1:10" x14ac:dyDescent="0.2">
      <c r="A251" s="8">
        <f t="shared" si="6"/>
        <v>45248</v>
      </c>
      <c r="B251" s="7" t="str">
        <f t="shared" si="7"/>
        <v>250 CHECK</v>
      </c>
      <c r="C251" s="7" t="str">
        <f t="array" ref="C251">IFERROR(INDEX(Mapping!$B$2:$B$22,MATCH('Bank Statement Export'!B251,Mapping!$A$2:$A$22,0)),INDEX(Table3[Category],MATCH(TRUE,ISNUMBER(SEARCH(Table3[Unique ID Contains],B251)),0)))</f>
        <v>Payroll</v>
      </c>
      <c r="D251" s="7" t="str">
        <f>INDEX('Forecast 1'!$B$9:$B$56,MATCH('Bank Statement Export'!C251,'Forecast 1'!$B$9:$B$56,0))</f>
        <v>Payroll</v>
      </c>
      <c r="E251" s="14">
        <v>250</v>
      </c>
      <c r="F251" s="10">
        <v>45244</v>
      </c>
      <c r="G251" s="9">
        <v>79797</v>
      </c>
      <c r="H251" s="9" t="s">
        <v>16</v>
      </c>
      <c r="I251" s="11">
        <v>-600</v>
      </c>
      <c r="J251" s="11">
        <v>228830</v>
      </c>
    </row>
    <row r="252" spans="1:10" x14ac:dyDescent="0.2">
      <c r="A252" s="8">
        <f t="shared" si="6"/>
        <v>45248</v>
      </c>
      <c r="B252" s="7" t="str">
        <f t="shared" si="7"/>
        <v>251 CHECK</v>
      </c>
      <c r="C252" s="7" t="str">
        <f t="array" ref="C252">IFERROR(INDEX(Mapping!$B$2:$B$22,MATCH('Bank Statement Export'!B252,Mapping!$A$2:$A$22,0)),INDEX(Table3[Category],MATCH(TRUE,ISNUMBER(SEARCH(Table3[Unique ID Contains],B252)),0)))</f>
        <v>Payroll</v>
      </c>
      <c r="D252" s="7" t="str">
        <f>INDEX('Forecast 1'!$B$9:$B$56,MATCH('Bank Statement Export'!C252,'Forecast 1'!$B$9:$B$56,0))</f>
        <v>Payroll</v>
      </c>
      <c r="E252" s="14">
        <v>251</v>
      </c>
      <c r="F252" s="10">
        <v>45244</v>
      </c>
      <c r="G252" s="9">
        <v>79802</v>
      </c>
      <c r="H252" s="9" t="s">
        <v>16</v>
      </c>
      <c r="I252" s="11">
        <v>-870</v>
      </c>
      <c r="J252" s="11">
        <v>227960</v>
      </c>
    </row>
    <row r="253" spans="1:10" x14ac:dyDescent="0.2">
      <c r="A253" s="8">
        <f t="shared" si="6"/>
        <v>45248</v>
      </c>
      <c r="B253" s="7" t="str">
        <f t="shared" si="7"/>
        <v>252 ELECTRONIC WITHDRAWAL STATE DEPT REVENUE</v>
      </c>
      <c r="C253" s="7" t="str">
        <f t="array" ref="C253">IFERROR(INDEX(Mapping!$B$2:$B$22,MATCH('Bank Statement Export'!B253,Mapping!$A$2:$A$22,0)),INDEX(Table3[Category],MATCH(TRUE,ISNUMBER(SEARCH(Table3[Unique ID Contains],B253)),0)))</f>
        <v>Tax Distributions</v>
      </c>
      <c r="D253" s="7" t="str">
        <f>INDEX('Forecast 1'!$B$9:$B$56,MATCH('Bank Statement Export'!C253,'Forecast 1'!$B$9:$B$56,0))</f>
        <v>Tax Distributions</v>
      </c>
      <c r="E253" s="14">
        <v>252</v>
      </c>
      <c r="F253" s="10">
        <v>45245</v>
      </c>
      <c r="G253" s="9" t="s">
        <v>14</v>
      </c>
      <c r="H253" s="9" t="s">
        <v>20</v>
      </c>
      <c r="I253" s="11">
        <v>-2190</v>
      </c>
      <c r="J253" s="11">
        <v>225770</v>
      </c>
    </row>
    <row r="254" spans="1:10" x14ac:dyDescent="0.2">
      <c r="A254" s="8">
        <f t="shared" si="6"/>
        <v>45248</v>
      </c>
      <c r="B254" s="7" t="str">
        <f t="shared" si="7"/>
        <v>253 ELECTRONIC WITHDRAWAL IRS</v>
      </c>
      <c r="C254" s="7" t="str">
        <f t="array" ref="C254">IFERROR(INDEX(Mapping!$B$2:$B$22,MATCH('Bank Statement Export'!B254,Mapping!$A$2:$A$22,0)),INDEX(Table3[Category],MATCH(TRUE,ISNUMBER(SEARCH(Table3[Unique ID Contains],B254)),0)))</f>
        <v>Tax Distributions</v>
      </c>
      <c r="D254" s="7" t="str">
        <f>INDEX('Forecast 1'!$B$9:$B$56,MATCH('Bank Statement Export'!C254,'Forecast 1'!$B$9:$B$56,0))</f>
        <v>Tax Distributions</v>
      </c>
      <c r="E254" s="14">
        <v>253</v>
      </c>
      <c r="F254" s="10">
        <v>45245</v>
      </c>
      <c r="G254" s="9" t="s">
        <v>14</v>
      </c>
      <c r="H254" s="9" t="s">
        <v>21</v>
      </c>
      <c r="I254" s="11">
        <v>-12010</v>
      </c>
      <c r="J254" s="11">
        <v>213760</v>
      </c>
    </row>
    <row r="255" spans="1:10" x14ac:dyDescent="0.2">
      <c r="A255" s="8">
        <f t="shared" si="6"/>
        <v>45248</v>
      </c>
      <c r="B255" s="7" t="str">
        <f t="shared" si="7"/>
        <v>254 ELECTRONIC WITHDRAWAL DISCOVER</v>
      </c>
      <c r="C255" s="7" t="str">
        <f t="array" ref="C255">IFERROR(INDEX(Mapping!$B$2:$B$22,MATCH('Bank Statement Export'!B255,Mapping!$A$2:$A$22,0)),INDEX(Table3[Category],MATCH(TRUE,ISNUMBER(SEARCH(Table3[Unique ID Contains],B255)),0)))</f>
        <v>Credit Cards</v>
      </c>
      <c r="D255" s="7" t="str">
        <f>INDEX('Forecast 1'!$B$9:$B$56,MATCH('Bank Statement Export'!C255,'Forecast 1'!$B$9:$B$56,0))</f>
        <v>Credit Cards</v>
      </c>
      <c r="E255" s="14">
        <v>254</v>
      </c>
      <c r="F255" s="10">
        <v>45245</v>
      </c>
      <c r="G255" s="9" t="s">
        <v>14</v>
      </c>
      <c r="H255" s="9" t="s">
        <v>34</v>
      </c>
      <c r="I255" s="11">
        <v>-100000</v>
      </c>
      <c r="J255" s="11">
        <v>113760</v>
      </c>
    </row>
    <row r="256" spans="1:10" x14ac:dyDescent="0.2">
      <c r="A256" s="8">
        <f t="shared" si="6"/>
        <v>45248</v>
      </c>
      <c r="B256" s="7" t="str">
        <f t="shared" si="7"/>
        <v>255 CHECK</v>
      </c>
      <c r="C256" s="7" t="str">
        <f t="array" ref="C256">IFERROR(INDEX(Mapping!$B$2:$B$22,MATCH('Bank Statement Export'!B256,Mapping!$A$2:$A$22,0)),INDEX(Table3[Category],MATCH(TRUE,ISNUMBER(SEARCH(Table3[Unique ID Contains],B256)),0)))</f>
        <v>Payroll</v>
      </c>
      <c r="D256" s="7" t="str">
        <f>INDEX('Forecast 1'!$B$9:$B$56,MATCH('Bank Statement Export'!C256,'Forecast 1'!$B$9:$B$56,0))</f>
        <v>Payroll</v>
      </c>
      <c r="E256" s="14">
        <v>255</v>
      </c>
      <c r="F256" s="10">
        <v>45245</v>
      </c>
      <c r="G256" s="9">
        <v>79800</v>
      </c>
      <c r="H256" s="9" t="s">
        <v>16</v>
      </c>
      <c r="I256" s="11">
        <v>-170</v>
      </c>
      <c r="J256" s="11">
        <v>113590</v>
      </c>
    </row>
    <row r="257" spans="1:10" x14ac:dyDescent="0.2">
      <c r="A257" s="8">
        <f t="shared" si="6"/>
        <v>45248</v>
      </c>
      <c r="B257" s="7" t="str">
        <f t="shared" si="7"/>
        <v>256 CHECK</v>
      </c>
      <c r="C257" s="7" t="str">
        <f t="array" ref="C257">IFERROR(INDEX(Mapping!$B$2:$B$22,MATCH('Bank Statement Export'!B257,Mapping!$A$2:$A$22,0)),INDEX(Table3[Category],MATCH(TRUE,ISNUMBER(SEARCH(Table3[Unique ID Contains],B257)),0)))</f>
        <v>Accounts Payable</v>
      </c>
      <c r="D257" s="7" t="str">
        <f>INDEX('Forecast 1'!$B$9:$B$56,MATCH('Bank Statement Export'!C257,'Forecast 1'!$B$9:$B$56,0))</f>
        <v>Accounts Payable</v>
      </c>
      <c r="E257" s="14">
        <v>256</v>
      </c>
      <c r="F257" s="10">
        <v>45245</v>
      </c>
      <c r="G257" s="9">
        <v>79926</v>
      </c>
      <c r="H257" s="9" t="s">
        <v>16</v>
      </c>
      <c r="I257" s="11">
        <v>-3210</v>
      </c>
      <c r="J257" s="11">
        <v>110380</v>
      </c>
    </row>
    <row r="258" spans="1:10" x14ac:dyDescent="0.2">
      <c r="A258" s="8">
        <f t="shared" si="6"/>
        <v>45248</v>
      </c>
      <c r="B258" s="7" t="str">
        <f t="shared" si="7"/>
        <v>257 ELECTRONIC WITHDRAWAL PAYROLL</v>
      </c>
      <c r="C258" s="7" t="str">
        <f t="array" ref="C258">IFERROR(INDEX(Mapping!$B$2:$B$22,MATCH('Bank Statement Export'!B258,Mapping!$A$2:$A$22,0)),INDEX(Table3[Category],MATCH(TRUE,ISNUMBER(SEARCH(Table3[Unique ID Contains],B258)),0)))</f>
        <v>Payroll</v>
      </c>
      <c r="D258" s="7" t="str">
        <f>INDEX('Forecast 1'!$B$9:$B$56,MATCH('Bank Statement Export'!C258,'Forecast 1'!$B$9:$B$56,0))</f>
        <v>Payroll</v>
      </c>
      <c r="E258" s="14">
        <v>257</v>
      </c>
      <c r="F258" s="10">
        <v>45246</v>
      </c>
      <c r="G258" s="9" t="s">
        <v>14</v>
      </c>
      <c r="H258" s="9" t="s">
        <v>22</v>
      </c>
      <c r="I258" s="11">
        <v>-3950</v>
      </c>
      <c r="J258" s="11">
        <v>106430</v>
      </c>
    </row>
    <row r="259" spans="1:10" x14ac:dyDescent="0.2">
      <c r="A259" s="8">
        <f t="shared" ref="A259:A322" si="8">F259+7-WEEKDAY(F259)</f>
        <v>45248</v>
      </c>
      <c r="B259" s="7" t="str">
        <f t="shared" ref="B259:B322" si="9">CONCATENATE(E259," ",H259)</f>
        <v>258 CHECK</v>
      </c>
      <c r="C259" s="7" t="str">
        <f t="array" ref="C259">IFERROR(INDEX(Mapping!$B$2:$B$22,MATCH('Bank Statement Export'!B259,Mapping!$A$2:$A$22,0)),INDEX(Table3[Category],MATCH(TRUE,ISNUMBER(SEARCH(Table3[Unique ID Contains],B259)),0)))</f>
        <v>Accounts Payable</v>
      </c>
      <c r="D259" s="7" t="str">
        <f>INDEX('Forecast 1'!$B$9:$B$56,MATCH('Bank Statement Export'!C259,'Forecast 1'!$B$9:$B$56,0))</f>
        <v>Accounts Payable</v>
      </c>
      <c r="E259" s="14">
        <v>258</v>
      </c>
      <c r="F259" s="10">
        <v>45246</v>
      </c>
      <c r="G259" s="9">
        <v>79930</v>
      </c>
      <c r="H259" s="9" t="s">
        <v>16</v>
      </c>
      <c r="I259" s="11">
        <v>-10700</v>
      </c>
      <c r="J259" s="11">
        <v>95730</v>
      </c>
    </row>
    <row r="260" spans="1:10" x14ac:dyDescent="0.2">
      <c r="A260" s="8">
        <f t="shared" si="8"/>
        <v>45248</v>
      </c>
      <c r="B260" s="7" t="str">
        <f t="shared" si="9"/>
        <v>259 CHECK</v>
      </c>
      <c r="C260" s="7" t="str">
        <f t="array" ref="C260">IFERROR(INDEX(Mapping!$B$2:$B$22,MATCH('Bank Statement Export'!B260,Mapping!$A$2:$A$22,0)),INDEX(Table3[Category],MATCH(TRUE,ISNUMBER(SEARCH(Table3[Unique ID Contains],B260)),0)))</f>
        <v>Payroll</v>
      </c>
      <c r="D260" s="7" t="str">
        <f>INDEX('Forecast 1'!$B$9:$B$56,MATCH('Bank Statement Export'!C260,'Forecast 1'!$B$9:$B$56,0))</f>
        <v>Payroll</v>
      </c>
      <c r="E260" s="14">
        <v>259</v>
      </c>
      <c r="F260" s="10">
        <v>45247</v>
      </c>
      <c r="G260" s="9">
        <v>79931</v>
      </c>
      <c r="H260" s="9" t="s">
        <v>16</v>
      </c>
      <c r="I260" s="11">
        <v>-1120</v>
      </c>
      <c r="J260" s="11">
        <v>94610</v>
      </c>
    </row>
    <row r="261" spans="1:10" x14ac:dyDescent="0.2">
      <c r="A261" s="8">
        <f t="shared" si="8"/>
        <v>45248</v>
      </c>
      <c r="B261" s="7" t="str">
        <f t="shared" si="9"/>
        <v>260 CHECK</v>
      </c>
      <c r="C261" s="7" t="str">
        <f t="array" ref="C261">IFERROR(INDEX(Mapping!$B$2:$B$22,MATCH('Bank Statement Export'!B261,Mapping!$A$2:$A$22,0)),INDEX(Table3[Category],MATCH(TRUE,ISNUMBER(SEARCH(Table3[Unique ID Contains],B261)),0)))</f>
        <v>Payroll</v>
      </c>
      <c r="D261" s="7" t="str">
        <f>INDEX('Forecast 1'!$B$9:$B$56,MATCH('Bank Statement Export'!C261,'Forecast 1'!$B$9:$B$56,0))</f>
        <v>Payroll</v>
      </c>
      <c r="E261" s="14">
        <v>260</v>
      </c>
      <c r="F261" s="10">
        <v>45247</v>
      </c>
      <c r="G261" s="9">
        <v>79932</v>
      </c>
      <c r="H261" s="9" t="s">
        <v>16</v>
      </c>
      <c r="I261" s="11">
        <v>-1020</v>
      </c>
      <c r="J261" s="11">
        <v>93590</v>
      </c>
    </row>
    <row r="262" spans="1:10" x14ac:dyDescent="0.2">
      <c r="A262" s="8">
        <f t="shared" si="8"/>
        <v>45248</v>
      </c>
      <c r="B262" s="7" t="str">
        <f t="shared" si="9"/>
        <v>261 CHECK</v>
      </c>
      <c r="C262" s="7" t="str">
        <f t="array" ref="C262">IFERROR(INDEX(Mapping!$B$2:$B$22,MATCH('Bank Statement Export'!B262,Mapping!$A$2:$A$22,0)),INDEX(Table3[Category],MATCH(TRUE,ISNUMBER(SEARCH(Table3[Unique ID Contains],B262)),0)))</f>
        <v>Payroll</v>
      </c>
      <c r="D262" s="7" t="str">
        <f>INDEX('Forecast 1'!$B$9:$B$56,MATCH('Bank Statement Export'!C262,'Forecast 1'!$B$9:$B$56,0))</f>
        <v>Payroll</v>
      </c>
      <c r="E262" s="14">
        <v>261</v>
      </c>
      <c r="F262" s="10">
        <v>45247</v>
      </c>
      <c r="G262" s="9">
        <v>79933</v>
      </c>
      <c r="H262" s="9" t="s">
        <v>16</v>
      </c>
      <c r="I262" s="11">
        <v>-1070</v>
      </c>
      <c r="J262" s="11">
        <v>92520</v>
      </c>
    </row>
    <row r="263" spans="1:10" x14ac:dyDescent="0.2">
      <c r="A263" s="8">
        <f t="shared" si="8"/>
        <v>45248</v>
      </c>
      <c r="B263" s="7" t="str">
        <f t="shared" si="9"/>
        <v>262 CHECK</v>
      </c>
      <c r="C263" s="7" t="str">
        <f t="array" ref="C263">IFERROR(INDEX(Mapping!$B$2:$B$22,MATCH('Bank Statement Export'!B263,Mapping!$A$2:$A$22,0)),INDEX(Table3[Category],MATCH(TRUE,ISNUMBER(SEARCH(Table3[Unique ID Contains],B263)),0)))</f>
        <v>Payroll</v>
      </c>
      <c r="D263" s="7" t="str">
        <f>INDEX('Forecast 1'!$B$9:$B$56,MATCH('Bank Statement Export'!C263,'Forecast 1'!$B$9:$B$56,0))</f>
        <v>Payroll</v>
      </c>
      <c r="E263" s="14">
        <v>262</v>
      </c>
      <c r="F263" s="10">
        <v>45247</v>
      </c>
      <c r="G263" s="9">
        <v>79935</v>
      </c>
      <c r="H263" s="9" t="s">
        <v>16</v>
      </c>
      <c r="I263" s="11">
        <v>-1210</v>
      </c>
      <c r="J263" s="11">
        <v>91310</v>
      </c>
    </row>
    <row r="264" spans="1:10" x14ac:dyDescent="0.2">
      <c r="A264" s="8">
        <f t="shared" si="8"/>
        <v>45248</v>
      </c>
      <c r="B264" s="7" t="str">
        <f t="shared" si="9"/>
        <v>263 CHECK</v>
      </c>
      <c r="C264" s="7" t="str">
        <f t="array" ref="C264">IFERROR(INDEX(Mapping!$B$2:$B$22,MATCH('Bank Statement Export'!B264,Mapping!$A$2:$A$22,0)),INDEX(Table3[Category],MATCH(TRUE,ISNUMBER(SEARCH(Table3[Unique ID Contains],B264)),0)))</f>
        <v>Payroll</v>
      </c>
      <c r="D264" s="7" t="str">
        <f>INDEX('Forecast 1'!$B$9:$B$56,MATCH('Bank Statement Export'!C264,'Forecast 1'!$B$9:$B$56,0))</f>
        <v>Payroll</v>
      </c>
      <c r="E264" s="14">
        <v>263</v>
      </c>
      <c r="F264" s="10">
        <v>45247</v>
      </c>
      <c r="G264" s="9">
        <v>79936</v>
      </c>
      <c r="H264" s="9" t="s">
        <v>16</v>
      </c>
      <c r="I264" s="11">
        <v>-970</v>
      </c>
      <c r="J264" s="11">
        <v>90340</v>
      </c>
    </row>
    <row r="265" spans="1:10" x14ac:dyDescent="0.2">
      <c r="A265" s="8">
        <f t="shared" si="8"/>
        <v>45248</v>
      </c>
      <c r="B265" s="7" t="str">
        <f t="shared" si="9"/>
        <v>264 CHECK</v>
      </c>
      <c r="C265" s="7" t="str">
        <f t="array" ref="C265">IFERROR(INDEX(Mapping!$B$2:$B$22,MATCH('Bank Statement Export'!B265,Mapping!$A$2:$A$22,0)),INDEX(Table3[Category],MATCH(TRUE,ISNUMBER(SEARCH(Table3[Unique ID Contains],B265)),0)))</f>
        <v>Payroll</v>
      </c>
      <c r="D265" s="7" t="str">
        <f>INDEX('Forecast 1'!$B$9:$B$56,MATCH('Bank Statement Export'!C265,'Forecast 1'!$B$9:$B$56,0))</f>
        <v>Payroll</v>
      </c>
      <c r="E265" s="14">
        <v>264</v>
      </c>
      <c r="F265" s="10">
        <v>45247</v>
      </c>
      <c r="G265" s="9">
        <v>79937</v>
      </c>
      <c r="H265" s="9" t="s">
        <v>16</v>
      </c>
      <c r="I265" s="11">
        <v>-1170</v>
      </c>
      <c r="J265" s="11">
        <v>89170</v>
      </c>
    </row>
    <row r="266" spans="1:10" x14ac:dyDescent="0.2">
      <c r="A266" s="8">
        <f t="shared" si="8"/>
        <v>45248</v>
      </c>
      <c r="B266" s="7" t="str">
        <f t="shared" si="9"/>
        <v>265 CHECK</v>
      </c>
      <c r="C266" s="7" t="str">
        <f t="array" ref="C266">IFERROR(INDEX(Mapping!$B$2:$B$22,MATCH('Bank Statement Export'!B266,Mapping!$A$2:$A$22,0)),INDEX(Table3[Category],MATCH(TRUE,ISNUMBER(SEARCH(Table3[Unique ID Contains],B266)),0)))</f>
        <v>Payroll</v>
      </c>
      <c r="D266" s="7" t="str">
        <f>INDEX('Forecast 1'!$B$9:$B$56,MATCH('Bank Statement Export'!C266,'Forecast 1'!$B$9:$B$56,0))</f>
        <v>Payroll</v>
      </c>
      <c r="E266" s="14">
        <v>265</v>
      </c>
      <c r="F266" s="10">
        <v>45247</v>
      </c>
      <c r="G266" s="9">
        <v>79940</v>
      </c>
      <c r="H266" s="9" t="s">
        <v>16</v>
      </c>
      <c r="I266" s="11">
        <v>-1180</v>
      </c>
      <c r="J266" s="11">
        <v>87990</v>
      </c>
    </row>
    <row r="267" spans="1:10" x14ac:dyDescent="0.2">
      <c r="A267" s="8">
        <f t="shared" si="8"/>
        <v>45248</v>
      </c>
      <c r="B267" s="7" t="str">
        <f t="shared" si="9"/>
        <v>266 CHECK</v>
      </c>
      <c r="C267" s="7" t="str">
        <f t="array" ref="C267">IFERROR(INDEX(Mapping!$B$2:$B$22,MATCH('Bank Statement Export'!B267,Mapping!$A$2:$A$22,0)),INDEX(Table3[Category],MATCH(TRUE,ISNUMBER(SEARCH(Table3[Unique ID Contains],B267)),0)))</f>
        <v>Payroll</v>
      </c>
      <c r="D267" s="7" t="str">
        <f>INDEX('Forecast 1'!$B$9:$B$56,MATCH('Bank Statement Export'!C267,'Forecast 1'!$B$9:$B$56,0))</f>
        <v>Payroll</v>
      </c>
      <c r="E267" s="14">
        <v>266</v>
      </c>
      <c r="F267" s="10">
        <v>45247</v>
      </c>
      <c r="G267" s="9">
        <v>79941</v>
      </c>
      <c r="H267" s="9" t="s">
        <v>16</v>
      </c>
      <c r="I267" s="11">
        <v>-1030</v>
      </c>
      <c r="J267" s="11">
        <v>86960</v>
      </c>
    </row>
    <row r="268" spans="1:10" x14ac:dyDescent="0.2">
      <c r="A268" s="8">
        <f t="shared" si="8"/>
        <v>45248</v>
      </c>
      <c r="B268" s="7" t="str">
        <f t="shared" si="9"/>
        <v>267 CHECK</v>
      </c>
      <c r="C268" s="7" t="str">
        <f t="array" ref="C268">IFERROR(INDEX(Mapping!$B$2:$B$22,MATCH('Bank Statement Export'!B268,Mapping!$A$2:$A$22,0)),INDEX(Table3[Category],MATCH(TRUE,ISNUMBER(SEARCH(Table3[Unique ID Contains],B268)),0)))</f>
        <v>Payroll</v>
      </c>
      <c r="D268" s="7" t="str">
        <f>INDEX('Forecast 1'!$B$9:$B$56,MATCH('Bank Statement Export'!C268,'Forecast 1'!$B$9:$B$56,0))</f>
        <v>Payroll</v>
      </c>
      <c r="E268" s="14">
        <v>267</v>
      </c>
      <c r="F268" s="10">
        <v>45247</v>
      </c>
      <c r="G268" s="9">
        <v>79942</v>
      </c>
      <c r="H268" s="9" t="s">
        <v>16</v>
      </c>
      <c r="I268" s="11">
        <v>-1190</v>
      </c>
      <c r="J268" s="11">
        <v>85770</v>
      </c>
    </row>
    <row r="269" spans="1:10" x14ac:dyDescent="0.2">
      <c r="A269" s="8">
        <f t="shared" si="8"/>
        <v>45248</v>
      </c>
      <c r="B269" s="7" t="str">
        <f t="shared" si="9"/>
        <v>268 CHECK</v>
      </c>
      <c r="C269" s="7" t="str">
        <f t="array" ref="C269">IFERROR(INDEX(Mapping!$B$2:$B$22,MATCH('Bank Statement Export'!B269,Mapping!$A$2:$A$22,0)),INDEX(Table3[Category],MATCH(TRUE,ISNUMBER(SEARCH(Table3[Unique ID Contains],B269)),0)))</f>
        <v>Payroll</v>
      </c>
      <c r="D269" s="7" t="str">
        <f>INDEX('Forecast 1'!$B$9:$B$56,MATCH('Bank Statement Export'!C269,'Forecast 1'!$B$9:$B$56,0))</f>
        <v>Payroll</v>
      </c>
      <c r="E269" s="14">
        <v>268</v>
      </c>
      <c r="F269" s="10">
        <v>45247</v>
      </c>
      <c r="G269" s="9">
        <v>79943</v>
      </c>
      <c r="H269" s="9" t="s">
        <v>16</v>
      </c>
      <c r="I269" s="11">
        <v>-1170</v>
      </c>
      <c r="J269" s="11">
        <v>84600</v>
      </c>
    </row>
    <row r="270" spans="1:10" x14ac:dyDescent="0.2">
      <c r="A270" s="8">
        <f t="shared" si="8"/>
        <v>45248</v>
      </c>
      <c r="B270" s="7" t="str">
        <f t="shared" si="9"/>
        <v>269 CHECK</v>
      </c>
      <c r="C270" s="7" t="str">
        <f t="array" ref="C270">IFERROR(INDEX(Mapping!$B$2:$B$22,MATCH('Bank Statement Export'!B270,Mapping!$A$2:$A$22,0)),INDEX(Table3[Category],MATCH(TRUE,ISNUMBER(SEARCH(Table3[Unique ID Contains],B270)),0)))</f>
        <v>Payroll</v>
      </c>
      <c r="D270" s="7" t="str">
        <f>INDEX('Forecast 1'!$B$9:$B$56,MATCH('Bank Statement Export'!C270,'Forecast 1'!$B$9:$B$56,0))</f>
        <v>Payroll</v>
      </c>
      <c r="E270" s="14">
        <v>269</v>
      </c>
      <c r="F270" s="10">
        <v>45247</v>
      </c>
      <c r="G270" s="9">
        <v>79944</v>
      </c>
      <c r="H270" s="9" t="s">
        <v>16</v>
      </c>
      <c r="I270" s="11">
        <v>-1460</v>
      </c>
      <c r="J270" s="11">
        <v>83140</v>
      </c>
    </row>
    <row r="271" spans="1:10" x14ac:dyDescent="0.2">
      <c r="A271" s="8">
        <f t="shared" si="8"/>
        <v>45248</v>
      </c>
      <c r="B271" s="7" t="str">
        <f t="shared" si="9"/>
        <v>270 CHECK</v>
      </c>
      <c r="C271" s="7" t="str">
        <f t="array" ref="C271">IFERROR(INDEX(Mapping!$B$2:$B$22,MATCH('Bank Statement Export'!B271,Mapping!$A$2:$A$22,0)),INDEX(Table3[Category],MATCH(TRUE,ISNUMBER(SEARCH(Table3[Unique ID Contains],B271)),0)))</f>
        <v>Payroll</v>
      </c>
      <c r="D271" s="7" t="str">
        <f>INDEX('Forecast 1'!$B$9:$B$56,MATCH('Bank Statement Export'!C271,'Forecast 1'!$B$9:$B$56,0))</f>
        <v>Payroll</v>
      </c>
      <c r="E271" s="14">
        <v>270</v>
      </c>
      <c r="F271" s="10">
        <v>45247</v>
      </c>
      <c r="G271" s="9">
        <v>79947</v>
      </c>
      <c r="H271" s="9" t="s">
        <v>16</v>
      </c>
      <c r="I271" s="11">
        <v>-1370</v>
      </c>
      <c r="J271" s="11">
        <v>81770</v>
      </c>
    </row>
    <row r="272" spans="1:10" x14ac:dyDescent="0.2">
      <c r="A272" s="8">
        <f t="shared" si="8"/>
        <v>45248</v>
      </c>
      <c r="B272" s="7" t="str">
        <f t="shared" si="9"/>
        <v>271 CHECK</v>
      </c>
      <c r="C272" s="7" t="str">
        <f t="array" ref="C272">IFERROR(INDEX(Mapping!$B$2:$B$22,MATCH('Bank Statement Export'!B272,Mapping!$A$2:$A$22,0)),INDEX(Table3[Category],MATCH(TRUE,ISNUMBER(SEARCH(Table3[Unique ID Contains],B272)),0)))</f>
        <v>Payroll</v>
      </c>
      <c r="D272" s="7" t="str">
        <f>INDEX('Forecast 1'!$B$9:$B$56,MATCH('Bank Statement Export'!C272,'Forecast 1'!$B$9:$B$56,0))</f>
        <v>Payroll</v>
      </c>
      <c r="E272" s="14">
        <v>271</v>
      </c>
      <c r="F272" s="10">
        <v>45247</v>
      </c>
      <c r="G272" s="9">
        <v>79949</v>
      </c>
      <c r="H272" s="9" t="s">
        <v>16</v>
      </c>
      <c r="I272" s="11">
        <v>-970</v>
      </c>
      <c r="J272" s="11">
        <v>80800</v>
      </c>
    </row>
    <row r="273" spans="1:10" x14ac:dyDescent="0.2">
      <c r="A273" s="8">
        <f t="shared" si="8"/>
        <v>45248</v>
      </c>
      <c r="B273" s="7" t="str">
        <f t="shared" si="9"/>
        <v>272 CHECK</v>
      </c>
      <c r="C273" s="7" t="str">
        <f t="array" ref="C273">IFERROR(INDEX(Mapping!$B$2:$B$22,MATCH('Bank Statement Export'!B273,Mapping!$A$2:$A$22,0)),INDEX(Table3[Category],MATCH(TRUE,ISNUMBER(SEARCH(Table3[Unique ID Contains],B273)),0)))</f>
        <v>Payroll</v>
      </c>
      <c r="D273" s="7" t="str">
        <f>INDEX('Forecast 1'!$B$9:$B$56,MATCH('Bank Statement Export'!C273,'Forecast 1'!$B$9:$B$56,0))</f>
        <v>Payroll</v>
      </c>
      <c r="E273" s="14">
        <v>272</v>
      </c>
      <c r="F273" s="10">
        <v>45247</v>
      </c>
      <c r="G273" s="9">
        <v>79950</v>
      </c>
      <c r="H273" s="9" t="s">
        <v>16</v>
      </c>
      <c r="I273" s="11">
        <v>-970</v>
      </c>
      <c r="J273" s="11">
        <v>79830</v>
      </c>
    </row>
    <row r="274" spans="1:10" x14ac:dyDescent="0.2">
      <c r="A274" s="8">
        <f t="shared" si="8"/>
        <v>45248</v>
      </c>
      <c r="B274" s="7" t="str">
        <f t="shared" si="9"/>
        <v>273 CHECK</v>
      </c>
      <c r="C274" s="7" t="str">
        <f t="array" ref="C274">IFERROR(INDEX(Mapping!$B$2:$B$22,MATCH('Bank Statement Export'!B274,Mapping!$A$2:$A$22,0)),INDEX(Table3[Category],MATCH(TRUE,ISNUMBER(SEARCH(Table3[Unique ID Contains],B274)),0)))</f>
        <v>Payroll</v>
      </c>
      <c r="D274" s="7" t="str">
        <f>INDEX('Forecast 1'!$B$9:$B$56,MATCH('Bank Statement Export'!C274,'Forecast 1'!$B$9:$B$56,0))</f>
        <v>Payroll</v>
      </c>
      <c r="E274" s="14">
        <v>273</v>
      </c>
      <c r="F274" s="10">
        <v>45247</v>
      </c>
      <c r="G274" s="9">
        <v>79951</v>
      </c>
      <c r="H274" s="9" t="s">
        <v>16</v>
      </c>
      <c r="I274" s="11">
        <v>-970</v>
      </c>
      <c r="J274" s="11">
        <v>78860</v>
      </c>
    </row>
    <row r="275" spans="1:10" x14ac:dyDescent="0.2">
      <c r="A275" s="8">
        <f t="shared" si="8"/>
        <v>45248</v>
      </c>
      <c r="B275" s="7" t="str">
        <f t="shared" si="9"/>
        <v>274 CHECK</v>
      </c>
      <c r="C275" s="7" t="str">
        <f t="array" ref="C275">IFERROR(INDEX(Mapping!$B$2:$B$22,MATCH('Bank Statement Export'!B275,Mapping!$A$2:$A$22,0)),INDEX(Table3[Category],MATCH(TRUE,ISNUMBER(SEARCH(Table3[Unique ID Contains],B275)),0)))</f>
        <v>Payroll</v>
      </c>
      <c r="D275" s="7" t="str">
        <f>INDEX('Forecast 1'!$B$9:$B$56,MATCH('Bank Statement Export'!C275,'Forecast 1'!$B$9:$B$56,0))</f>
        <v>Payroll</v>
      </c>
      <c r="E275" s="14">
        <v>274</v>
      </c>
      <c r="F275" s="10">
        <v>45247</v>
      </c>
      <c r="G275" s="9">
        <v>79952</v>
      </c>
      <c r="H275" s="9" t="s">
        <v>16</v>
      </c>
      <c r="I275" s="11">
        <v>-1220</v>
      </c>
      <c r="J275" s="11">
        <v>77640</v>
      </c>
    </row>
    <row r="276" spans="1:10" x14ac:dyDescent="0.2">
      <c r="A276" s="8">
        <f t="shared" si="8"/>
        <v>45248</v>
      </c>
      <c r="B276" s="7" t="str">
        <f t="shared" si="9"/>
        <v>275 CHECK</v>
      </c>
      <c r="C276" s="7" t="str">
        <f t="array" ref="C276">IFERROR(INDEX(Mapping!$B$2:$B$22,MATCH('Bank Statement Export'!B276,Mapping!$A$2:$A$22,0)),INDEX(Table3[Category],MATCH(TRUE,ISNUMBER(SEARCH(Table3[Unique ID Contains],B276)),0)))</f>
        <v>Payroll</v>
      </c>
      <c r="D276" s="7" t="str">
        <f>INDEX('Forecast 1'!$B$9:$B$56,MATCH('Bank Statement Export'!C276,'Forecast 1'!$B$9:$B$56,0))</f>
        <v>Payroll</v>
      </c>
      <c r="E276" s="14">
        <v>275</v>
      </c>
      <c r="F276" s="10">
        <v>45247</v>
      </c>
      <c r="G276" s="9">
        <v>79953</v>
      </c>
      <c r="H276" s="9" t="s">
        <v>16</v>
      </c>
      <c r="I276" s="11">
        <v>-1580</v>
      </c>
      <c r="J276" s="11">
        <v>76060</v>
      </c>
    </row>
    <row r="277" spans="1:10" x14ac:dyDescent="0.2">
      <c r="A277" s="8">
        <f t="shared" si="8"/>
        <v>45248</v>
      </c>
      <c r="B277" s="7" t="str">
        <f t="shared" si="9"/>
        <v>276 CHECK</v>
      </c>
      <c r="C277" s="7" t="str">
        <f t="array" ref="C277">IFERROR(INDEX(Mapping!$B$2:$B$22,MATCH('Bank Statement Export'!B277,Mapping!$A$2:$A$22,0)),INDEX(Table3[Category],MATCH(TRUE,ISNUMBER(SEARCH(Table3[Unique ID Contains],B277)),0)))</f>
        <v>Payroll</v>
      </c>
      <c r="D277" s="7" t="str">
        <f>INDEX('Forecast 1'!$B$9:$B$56,MATCH('Bank Statement Export'!C277,'Forecast 1'!$B$9:$B$56,0))</f>
        <v>Payroll</v>
      </c>
      <c r="E277" s="14">
        <v>276</v>
      </c>
      <c r="F277" s="10">
        <v>45247</v>
      </c>
      <c r="G277" s="9">
        <v>79954</v>
      </c>
      <c r="H277" s="9" t="s">
        <v>16</v>
      </c>
      <c r="I277" s="11">
        <v>-1080</v>
      </c>
      <c r="J277" s="11">
        <v>74980</v>
      </c>
    </row>
    <row r="278" spans="1:10" x14ac:dyDescent="0.2">
      <c r="A278" s="8">
        <f t="shared" si="8"/>
        <v>45248</v>
      </c>
      <c r="B278" s="7" t="str">
        <f t="shared" si="9"/>
        <v>277 CHECK</v>
      </c>
      <c r="C278" s="7" t="str">
        <f t="array" ref="C278">IFERROR(INDEX(Mapping!$B$2:$B$22,MATCH('Bank Statement Export'!B278,Mapping!$A$2:$A$22,0)),INDEX(Table3[Category],MATCH(TRUE,ISNUMBER(SEARCH(Table3[Unique ID Contains],B278)),0)))</f>
        <v>Payroll</v>
      </c>
      <c r="D278" s="7" t="str">
        <f>INDEX('Forecast 1'!$B$9:$B$56,MATCH('Bank Statement Export'!C278,'Forecast 1'!$B$9:$B$56,0))</f>
        <v>Payroll</v>
      </c>
      <c r="E278" s="14">
        <v>277</v>
      </c>
      <c r="F278" s="10">
        <v>45247</v>
      </c>
      <c r="G278" s="9">
        <v>79955</v>
      </c>
      <c r="H278" s="9" t="s">
        <v>16</v>
      </c>
      <c r="I278" s="11">
        <v>-1120</v>
      </c>
      <c r="J278" s="11">
        <v>73860</v>
      </c>
    </row>
    <row r="279" spans="1:10" x14ac:dyDescent="0.2">
      <c r="A279" s="8">
        <f t="shared" si="8"/>
        <v>45248</v>
      </c>
      <c r="B279" s="7" t="str">
        <f t="shared" si="9"/>
        <v>278 CHECK</v>
      </c>
      <c r="C279" s="7" t="str">
        <f t="array" ref="C279">IFERROR(INDEX(Mapping!$B$2:$B$22,MATCH('Bank Statement Export'!B279,Mapping!$A$2:$A$22,0)),INDEX(Table3[Category],MATCH(TRUE,ISNUMBER(SEARCH(Table3[Unique ID Contains],B279)),0)))</f>
        <v>Payroll</v>
      </c>
      <c r="D279" s="7" t="str">
        <f>INDEX('Forecast 1'!$B$9:$B$56,MATCH('Bank Statement Export'!C279,'Forecast 1'!$B$9:$B$56,0))</f>
        <v>Payroll</v>
      </c>
      <c r="E279" s="14">
        <v>278</v>
      </c>
      <c r="F279" s="10">
        <v>45247</v>
      </c>
      <c r="G279" s="9">
        <v>79956</v>
      </c>
      <c r="H279" s="9" t="s">
        <v>16</v>
      </c>
      <c r="I279" s="11">
        <v>-980</v>
      </c>
      <c r="J279" s="11">
        <v>72880</v>
      </c>
    </row>
    <row r="280" spans="1:10" x14ac:dyDescent="0.2">
      <c r="A280" s="8">
        <f t="shared" si="8"/>
        <v>45248</v>
      </c>
      <c r="B280" s="7" t="str">
        <f t="shared" si="9"/>
        <v>279 CHECK</v>
      </c>
      <c r="C280" s="7" t="str">
        <f t="array" ref="C280">IFERROR(INDEX(Mapping!$B$2:$B$22,MATCH('Bank Statement Export'!B280,Mapping!$A$2:$A$22,0)),INDEX(Table3[Category],MATCH(TRUE,ISNUMBER(SEARCH(Table3[Unique ID Contains],B280)),0)))</f>
        <v>Payroll</v>
      </c>
      <c r="D280" s="7" t="str">
        <f>INDEX('Forecast 1'!$B$9:$B$56,MATCH('Bank Statement Export'!C280,'Forecast 1'!$B$9:$B$56,0))</f>
        <v>Payroll</v>
      </c>
      <c r="E280" s="14">
        <v>279</v>
      </c>
      <c r="F280" s="10">
        <v>45247</v>
      </c>
      <c r="G280" s="9">
        <v>79957</v>
      </c>
      <c r="H280" s="9" t="s">
        <v>16</v>
      </c>
      <c r="I280" s="11">
        <v>-1180</v>
      </c>
      <c r="J280" s="11">
        <v>71700</v>
      </c>
    </row>
    <row r="281" spans="1:10" x14ac:dyDescent="0.2">
      <c r="A281" s="8">
        <f t="shared" si="8"/>
        <v>45248</v>
      </c>
      <c r="B281" s="7" t="str">
        <f t="shared" si="9"/>
        <v>280 CHECK</v>
      </c>
      <c r="C281" s="7" t="str">
        <f t="array" ref="C281">IFERROR(INDEX(Mapping!$B$2:$B$22,MATCH('Bank Statement Export'!B281,Mapping!$A$2:$A$22,0)),INDEX(Table3[Category],MATCH(TRUE,ISNUMBER(SEARCH(Table3[Unique ID Contains],B281)),0)))</f>
        <v>Payroll</v>
      </c>
      <c r="D281" s="7" t="str">
        <f>INDEX('Forecast 1'!$B$9:$B$56,MATCH('Bank Statement Export'!C281,'Forecast 1'!$B$9:$B$56,0))</f>
        <v>Payroll</v>
      </c>
      <c r="E281" s="14">
        <v>280</v>
      </c>
      <c r="F281" s="10">
        <v>45247</v>
      </c>
      <c r="G281" s="9">
        <v>79958</v>
      </c>
      <c r="H281" s="9" t="s">
        <v>16</v>
      </c>
      <c r="I281" s="11">
        <v>-1260</v>
      </c>
      <c r="J281" s="11">
        <v>70440</v>
      </c>
    </row>
    <row r="282" spans="1:10" x14ac:dyDescent="0.2">
      <c r="A282" s="8">
        <f t="shared" si="8"/>
        <v>45248</v>
      </c>
      <c r="B282" s="7" t="str">
        <f t="shared" si="9"/>
        <v>281 CHECK</v>
      </c>
      <c r="C282" s="7" t="str">
        <f t="array" ref="C282">IFERROR(INDEX(Mapping!$B$2:$B$22,MATCH('Bank Statement Export'!B282,Mapping!$A$2:$A$22,0)),INDEX(Table3[Category],MATCH(TRUE,ISNUMBER(SEARCH(Table3[Unique ID Contains],B282)),0)))</f>
        <v>Payroll</v>
      </c>
      <c r="D282" s="7" t="str">
        <f>INDEX('Forecast 1'!$B$9:$B$56,MATCH('Bank Statement Export'!C282,'Forecast 1'!$B$9:$B$56,0))</f>
        <v>Payroll</v>
      </c>
      <c r="E282" s="14">
        <v>281</v>
      </c>
      <c r="F282" s="10">
        <v>45247</v>
      </c>
      <c r="G282" s="9">
        <v>79959</v>
      </c>
      <c r="H282" s="9" t="s">
        <v>16</v>
      </c>
      <c r="I282" s="11">
        <v>-1160</v>
      </c>
      <c r="J282" s="11">
        <v>69280</v>
      </c>
    </row>
    <row r="283" spans="1:10" x14ac:dyDescent="0.2">
      <c r="A283" s="8">
        <f t="shared" si="8"/>
        <v>45248</v>
      </c>
      <c r="B283" s="7" t="str">
        <f t="shared" si="9"/>
        <v>282 CHECK</v>
      </c>
      <c r="C283" s="7" t="str">
        <f t="array" ref="C283">IFERROR(INDEX(Mapping!$B$2:$B$22,MATCH('Bank Statement Export'!B283,Mapping!$A$2:$A$22,0)),INDEX(Table3[Category],MATCH(TRUE,ISNUMBER(SEARCH(Table3[Unique ID Contains],B283)),0)))</f>
        <v>Payroll</v>
      </c>
      <c r="D283" s="7" t="str">
        <f>INDEX('Forecast 1'!$B$9:$B$56,MATCH('Bank Statement Export'!C283,'Forecast 1'!$B$9:$B$56,0))</f>
        <v>Payroll</v>
      </c>
      <c r="E283" s="14">
        <v>282</v>
      </c>
      <c r="F283" s="10">
        <v>45247</v>
      </c>
      <c r="G283" s="9">
        <v>79960</v>
      </c>
      <c r="H283" s="9" t="s">
        <v>16</v>
      </c>
      <c r="I283" s="11">
        <v>-1060</v>
      </c>
      <c r="J283" s="11">
        <v>68220</v>
      </c>
    </row>
    <row r="284" spans="1:10" x14ac:dyDescent="0.2">
      <c r="A284" s="8">
        <f t="shared" si="8"/>
        <v>45248</v>
      </c>
      <c r="B284" s="7" t="str">
        <f t="shared" si="9"/>
        <v>283 CHECK</v>
      </c>
      <c r="C284" s="7" t="str">
        <f t="array" ref="C284">IFERROR(INDEX(Mapping!$B$2:$B$22,MATCH('Bank Statement Export'!B284,Mapping!$A$2:$A$22,0)),INDEX(Table3[Category],MATCH(TRUE,ISNUMBER(SEARCH(Table3[Unique ID Contains],B284)),0)))</f>
        <v>Payroll</v>
      </c>
      <c r="D284" s="7" t="str">
        <f>INDEX('Forecast 1'!$B$9:$B$56,MATCH('Bank Statement Export'!C284,'Forecast 1'!$B$9:$B$56,0))</f>
        <v>Payroll</v>
      </c>
      <c r="E284" s="14">
        <v>283</v>
      </c>
      <c r="F284" s="10">
        <v>45247</v>
      </c>
      <c r="G284" s="9">
        <v>79961</v>
      </c>
      <c r="H284" s="9" t="s">
        <v>16</v>
      </c>
      <c r="I284" s="11">
        <v>-1360</v>
      </c>
      <c r="J284" s="11">
        <v>66860</v>
      </c>
    </row>
    <row r="285" spans="1:10" x14ac:dyDescent="0.2">
      <c r="A285" s="8">
        <f t="shared" si="8"/>
        <v>45248</v>
      </c>
      <c r="B285" s="7" t="str">
        <f t="shared" si="9"/>
        <v>284 CHECK</v>
      </c>
      <c r="C285" s="7" t="str">
        <f t="array" ref="C285">IFERROR(INDEX(Mapping!$B$2:$B$22,MATCH('Bank Statement Export'!B285,Mapping!$A$2:$A$22,0)),INDEX(Table3[Category],MATCH(TRUE,ISNUMBER(SEARCH(Table3[Unique ID Contains],B285)),0)))</f>
        <v>Payroll</v>
      </c>
      <c r="D285" s="7" t="str">
        <f>INDEX('Forecast 1'!$B$9:$B$56,MATCH('Bank Statement Export'!C285,'Forecast 1'!$B$9:$B$56,0))</f>
        <v>Payroll</v>
      </c>
      <c r="E285" s="14">
        <v>284</v>
      </c>
      <c r="F285" s="10">
        <v>45247</v>
      </c>
      <c r="G285" s="9">
        <v>79962</v>
      </c>
      <c r="H285" s="9" t="s">
        <v>16</v>
      </c>
      <c r="I285" s="11">
        <v>-1500</v>
      </c>
      <c r="J285" s="11">
        <v>65360</v>
      </c>
    </row>
    <row r="286" spans="1:10" x14ac:dyDescent="0.2">
      <c r="A286" s="8">
        <f t="shared" si="8"/>
        <v>45248</v>
      </c>
      <c r="B286" s="7" t="str">
        <f t="shared" si="9"/>
        <v>285 CHECK</v>
      </c>
      <c r="C286" s="7" t="str">
        <f t="array" ref="C286">IFERROR(INDEX(Mapping!$B$2:$B$22,MATCH('Bank Statement Export'!B286,Mapping!$A$2:$A$22,0)),INDEX(Table3[Category],MATCH(TRUE,ISNUMBER(SEARCH(Table3[Unique ID Contains],B286)),0)))</f>
        <v>Accounts Payable</v>
      </c>
      <c r="D286" s="7" t="str">
        <f>INDEX('Forecast 1'!$B$9:$B$56,MATCH('Bank Statement Export'!C286,'Forecast 1'!$B$9:$B$56,0))</f>
        <v>Accounts Payable</v>
      </c>
      <c r="E286" s="14">
        <v>285</v>
      </c>
      <c r="F286" s="10">
        <v>45247</v>
      </c>
      <c r="G286" s="9">
        <v>79964</v>
      </c>
      <c r="H286" s="9" t="s">
        <v>16</v>
      </c>
      <c r="I286" s="11">
        <v>-22000</v>
      </c>
      <c r="J286" s="11">
        <v>43360</v>
      </c>
    </row>
    <row r="287" spans="1:10" x14ac:dyDescent="0.2">
      <c r="A287" s="8">
        <f t="shared" si="8"/>
        <v>45255</v>
      </c>
      <c r="B287" s="7" t="str">
        <f t="shared" si="9"/>
        <v>286 DEPOSIT</v>
      </c>
      <c r="C287" s="7" t="str">
        <f t="array" ref="C287">IFERROR(INDEX(Mapping!$B$2:$B$22,MATCH('Bank Statement Export'!B287,Mapping!$A$2:$A$22,0)),INDEX(Table3[Category],MATCH(TRUE,ISNUMBER(SEARCH(Table3[Unique ID Contains],B287)),0)))</f>
        <v xml:space="preserve">  Invoice Revenue Receipts</v>
      </c>
      <c r="D287" s="7" t="str">
        <f>INDEX('Forecast 1'!$B$9:$B$56,MATCH('Bank Statement Export'!C287,'Forecast 1'!$B$9:$B$56,0))</f>
        <v xml:space="preserve">  Invoice Revenue Receipts</v>
      </c>
      <c r="E287" s="14">
        <v>286</v>
      </c>
      <c r="F287" s="10">
        <v>45250</v>
      </c>
      <c r="G287" s="9" t="s">
        <v>17</v>
      </c>
      <c r="H287" s="9" t="s">
        <v>18</v>
      </c>
      <c r="I287" s="11">
        <v>355120</v>
      </c>
      <c r="J287" s="11">
        <v>398480</v>
      </c>
    </row>
    <row r="288" spans="1:10" x14ac:dyDescent="0.2">
      <c r="A288" s="8">
        <f t="shared" si="8"/>
        <v>45255</v>
      </c>
      <c r="B288" s="7" t="str">
        <f t="shared" si="9"/>
        <v>287 WEB AUTHORIZED PMT KRYPTONIX</v>
      </c>
      <c r="C288" s="7" t="str">
        <f t="array" ref="C288">IFERROR(INDEX(Mapping!$B$2:$B$22,MATCH('Bank Statement Export'!B288,Mapping!$A$2:$A$22,0)),INDEX(Table3[Category],MATCH(TRUE,ISNUMBER(SEARCH(Table3[Unique ID Contains],B288)),0)))</f>
        <v>Dues &amp; Subscriptions</v>
      </c>
      <c r="D288" s="7" t="str">
        <f>INDEX('Forecast 1'!$B$9:$B$56,MATCH('Bank Statement Export'!C288,'Forecast 1'!$B$9:$B$56,0))</f>
        <v>Dues &amp; Subscriptions</v>
      </c>
      <c r="E288" s="14">
        <v>287</v>
      </c>
      <c r="F288" s="10">
        <v>45250</v>
      </c>
      <c r="G288" s="9" t="s">
        <v>14</v>
      </c>
      <c r="H288" s="9" t="s">
        <v>15</v>
      </c>
      <c r="I288" s="11">
        <v>-80</v>
      </c>
      <c r="J288" s="11">
        <v>398400</v>
      </c>
    </row>
    <row r="289" spans="1:10" x14ac:dyDescent="0.2">
      <c r="A289" s="8">
        <f t="shared" si="8"/>
        <v>45255</v>
      </c>
      <c r="B289" s="7" t="str">
        <f t="shared" si="9"/>
        <v>288 WEB AUTHORIZED PMT KRYPTONIX</v>
      </c>
      <c r="C289" s="7" t="str">
        <f t="array" ref="C289">IFERROR(INDEX(Mapping!$B$2:$B$22,MATCH('Bank Statement Export'!B289,Mapping!$A$2:$A$22,0)),INDEX(Table3[Category],MATCH(TRUE,ISNUMBER(SEARCH(Table3[Unique ID Contains],B289)),0)))</f>
        <v>Dues &amp; Subscriptions</v>
      </c>
      <c r="D289" s="7" t="str">
        <f>INDEX('Forecast 1'!$B$9:$B$56,MATCH('Bank Statement Export'!C289,'Forecast 1'!$B$9:$B$56,0))</f>
        <v>Dues &amp; Subscriptions</v>
      </c>
      <c r="E289" s="14">
        <v>288</v>
      </c>
      <c r="F289" s="10">
        <v>45250</v>
      </c>
      <c r="G289" s="9" t="s">
        <v>14</v>
      </c>
      <c r="H289" s="9" t="s">
        <v>15</v>
      </c>
      <c r="I289" s="11">
        <v>-230</v>
      </c>
      <c r="J289" s="11">
        <v>398170</v>
      </c>
    </row>
    <row r="290" spans="1:10" x14ac:dyDescent="0.2">
      <c r="A290" s="8">
        <f t="shared" si="8"/>
        <v>45255</v>
      </c>
      <c r="B290" s="7" t="str">
        <f t="shared" si="9"/>
        <v>289 ELECTRONIC WITHDRAWAL FRACTALIX</v>
      </c>
      <c r="C290" s="7" t="str">
        <f t="array" ref="C290">IFERROR(INDEX(Mapping!$B$2:$B$22,MATCH('Bank Statement Export'!B290,Mapping!$A$2:$A$22,0)),INDEX(Table3[Category],MATCH(TRUE,ISNUMBER(SEARCH(Table3[Unique ID Contains],B290)),0)))</f>
        <v>Lease Payments</v>
      </c>
      <c r="D290" s="7" t="str">
        <f>INDEX('Forecast 1'!$B$9:$B$56,MATCH('Bank Statement Export'!C290,'Forecast 1'!$B$9:$B$56,0))</f>
        <v>Lease Payments</v>
      </c>
      <c r="E290" s="14">
        <v>289</v>
      </c>
      <c r="F290" s="10">
        <v>45250</v>
      </c>
      <c r="G290" s="9" t="s">
        <v>14</v>
      </c>
      <c r="H290" s="9" t="s">
        <v>23</v>
      </c>
      <c r="I290" s="11">
        <v>-1350</v>
      </c>
      <c r="J290" s="11">
        <v>396820</v>
      </c>
    </row>
    <row r="291" spans="1:10" x14ac:dyDescent="0.2">
      <c r="A291" s="8">
        <f t="shared" si="8"/>
        <v>45255</v>
      </c>
      <c r="B291" s="7" t="str">
        <f t="shared" si="9"/>
        <v>290 CHECK</v>
      </c>
      <c r="C291" s="7" t="str">
        <f t="array" ref="C291">IFERROR(INDEX(Mapping!$B$2:$B$22,MATCH('Bank Statement Export'!B291,Mapping!$A$2:$A$22,0)),INDEX(Table3[Category],MATCH(TRUE,ISNUMBER(SEARCH(Table3[Unique ID Contains],B291)),0)))</f>
        <v>Accounts Payable</v>
      </c>
      <c r="D291" s="7" t="str">
        <f>INDEX('Forecast 1'!$B$9:$B$56,MATCH('Bank Statement Export'!C291,'Forecast 1'!$B$9:$B$56,0))</f>
        <v>Accounts Payable</v>
      </c>
      <c r="E291" s="14">
        <v>290</v>
      </c>
      <c r="F291" s="10">
        <v>45250</v>
      </c>
      <c r="G291" s="9">
        <v>79927</v>
      </c>
      <c r="H291" s="9" t="s">
        <v>16</v>
      </c>
      <c r="I291" s="11">
        <v>-8500</v>
      </c>
      <c r="J291" s="11">
        <v>388320</v>
      </c>
    </row>
    <row r="292" spans="1:10" x14ac:dyDescent="0.2">
      <c r="A292" s="8">
        <f t="shared" si="8"/>
        <v>45255</v>
      </c>
      <c r="B292" s="7" t="str">
        <f t="shared" si="9"/>
        <v>291 CHECK</v>
      </c>
      <c r="C292" s="7" t="str">
        <f t="array" ref="C292">IFERROR(INDEX(Mapping!$B$2:$B$22,MATCH('Bank Statement Export'!B292,Mapping!$A$2:$A$22,0)),INDEX(Table3[Category],MATCH(TRUE,ISNUMBER(SEARCH(Table3[Unique ID Contains],B292)),0)))</f>
        <v>Accounts Payable</v>
      </c>
      <c r="D292" s="7" t="str">
        <f>INDEX('Forecast 1'!$B$9:$B$56,MATCH('Bank Statement Export'!C292,'Forecast 1'!$B$9:$B$56,0))</f>
        <v>Accounts Payable</v>
      </c>
      <c r="E292" s="14">
        <v>291</v>
      </c>
      <c r="F292" s="10">
        <v>45250</v>
      </c>
      <c r="G292" s="9">
        <v>79928</v>
      </c>
      <c r="H292" s="9" t="s">
        <v>16</v>
      </c>
      <c r="I292" s="11">
        <v>-4930</v>
      </c>
      <c r="J292" s="11">
        <v>383390</v>
      </c>
    </row>
    <row r="293" spans="1:10" x14ac:dyDescent="0.2">
      <c r="A293" s="8">
        <f t="shared" si="8"/>
        <v>45255</v>
      </c>
      <c r="B293" s="7" t="str">
        <f t="shared" si="9"/>
        <v>292 CHECK</v>
      </c>
      <c r="C293" s="7" t="str">
        <f t="array" ref="C293">IFERROR(INDEX(Mapping!$B$2:$B$22,MATCH('Bank Statement Export'!B293,Mapping!$A$2:$A$22,0)),INDEX(Table3[Category],MATCH(TRUE,ISNUMBER(SEARCH(Table3[Unique ID Contains],B293)),0)))</f>
        <v>Payroll</v>
      </c>
      <c r="D293" s="7" t="str">
        <f>INDEX('Forecast 1'!$B$9:$B$56,MATCH('Bank Statement Export'!C293,'Forecast 1'!$B$9:$B$56,0))</f>
        <v>Payroll</v>
      </c>
      <c r="E293" s="14">
        <v>292</v>
      </c>
      <c r="F293" s="10">
        <v>45250</v>
      </c>
      <c r="G293" s="9">
        <v>79934</v>
      </c>
      <c r="H293" s="9" t="s">
        <v>16</v>
      </c>
      <c r="I293" s="11">
        <v>-1880</v>
      </c>
      <c r="J293" s="11">
        <v>381510</v>
      </c>
    </row>
    <row r="294" spans="1:10" x14ac:dyDescent="0.2">
      <c r="A294" s="8">
        <f t="shared" si="8"/>
        <v>45255</v>
      </c>
      <c r="B294" s="7" t="str">
        <f t="shared" si="9"/>
        <v>293 CHECK</v>
      </c>
      <c r="C294" s="7" t="str">
        <f t="array" ref="C294">IFERROR(INDEX(Mapping!$B$2:$B$22,MATCH('Bank Statement Export'!B294,Mapping!$A$2:$A$22,0)),INDEX(Table3[Category],MATCH(TRUE,ISNUMBER(SEARCH(Table3[Unique ID Contains],B294)),0)))</f>
        <v>Payroll</v>
      </c>
      <c r="D294" s="7" t="str">
        <f>INDEX('Forecast 1'!$B$9:$B$56,MATCH('Bank Statement Export'!C294,'Forecast 1'!$B$9:$B$56,0))</f>
        <v>Payroll</v>
      </c>
      <c r="E294" s="14">
        <v>293</v>
      </c>
      <c r="F294" s="10">
        <v>45250</v>
      </c>
      <c r="G294" s="9">
        <v>79939</v>
      </c>
      <c r="H294" s="9" t="s">
        <v>16</v>
      </c>
      <c r="I294" s="11">
        <v>-1020</v>
      </c>
      <c r="J294" s="11">
        <v>380490</v>
      </c>
    </row>
    <row r="295" spans="1:10" x14ac:dyDescent="0.2">
      <c r="A295" s="8">
        <f t="shared" si="8"/>
        <v>45255</v>
      </c>
      <c r="B295" s="7" t="str">
        <f t="shared" si="9"/>
        <v>294 CHECK</v>
      </c>
      <c r="C295" s="7" t="str">
        <f t="array" ref="C295">IFERROR(INDEX(Mapping!$B$2:$B$22,MATCH('Bank Statement Export'!B295,Mapping!$A$2:$A$22,0)),INDEX(Table3[Category],MATCH(TRUE,ISNUMBER(SEARCH(Table3[Unique ID Contains],B295)),0)))</f>
        <v>Payroll</v>
      </c>
      <c r="D295" s="7" t="str">
        <f>INDEX('Forecast 1'!$B$9:$B$56,MATCH('Bank Statement Export'!C295,'Forecast 1'!$B$9:$B$56,0))</f>
        <v>Payroll</v>
      </c>
      <c r="E295" s="14">
        <v>294</v>
      </c>
      <c r="F295" s="10">
        <v>45250</v>
      </c>
      <c r="G295" s="9">
        <v>79945</v>
      </c>
      <c r="H295" s="9" t="s">
        <v>16</v>
      </c>
      <c r="I295" s="11">
        <v>-1070</v>
      </c>
      <c r="J295" s="11">
        <v>379420</v>
      </c>
    </row>
    <row r="296" spans="1:10" x14ac:dyDescent="0.2">
      <c r="A296" s="8">
        <f t="shared" si="8"/>
        <v>45255</v>
      </c>
      <c r="B296" s="7" t="str">
        <f t="shared" si="9"/>
        <v>295 CHECK</v>
      </c>
      <c r="C296" s="7" t="str">
        <f t="array" ref="C296">IFERROR(INDEX(Mapping!$B$2:$B$22,MATCH('Bank Statement Export'!B296,Mapping!$A$2:$A$22,0)),INDEX(Table3[Category],MATCH(TRUE,ISNUMBER(SEARCH(Table3[Unique ID Contains],B296)),0)))</f>
        <v>Payroll</v>
      </c>
      <c r="D296" s="7" t="str">
        <f>INDEX('Forecast 1'!$B$9:$B$56,MATCH('Bank Statement Export'!C296,'Forecast 1'!$B$9:$B$56,0))</f>
        <v>Payroll</v>
      </c>
      <c r="E296" s="14">
        <v>295</v>
      </c>
      <c r="F296" s="10">
        <v>45250</v>
      </c>
      <c r="G296" s="9">
        <v>79946</v>
      </c>
      <c r="H296" s="9" t="s">
        <v>16</v>
      </c>
      <c r="I296" s="11">
        <v>-1500</v>
      </c>
      <c r="J296" s="11">
        <v>377920</v>
      </c>
    </row>
    <row r="297" spans="1:10" x14ac:dyDescent="0.2">
      <c r="A297" s="8">
        <f t="shared" si="8"/>
        <v>45255</v>
      </c>
      <c r="B297" s="7" t="str">
        <f t="shared" si="9"/>
        <v>296 CHECK</v>
      </c>
      <c r="C297" s="7" t="str">
        <f t="array" ref="C297">IFERROR(INDEX(Mapping!$B$2:$B$22,MATCH('Bank Statement Export'!B297,Mapping!$A$2:$A$22,0)),INDEX(Table3[Category],MATCH(TRUE,ISNUMBER(SEARCH(Table3[Unique ID Contains],B297)),0)))</f>
        <v>Payroll</v>
      </c>
      <c r="D297" s="7" t="str">
        <f>INDEX('Forecast 1'!$B$9:$B$56,MATCH('Bank Statement Export'!C297,'Forecast 1'!$B$9:$B$56,0))</f>
        <v>Payroll</v>
      </c>
      <c r="E297" s="14">
        <v>296</v>
      </c>
      <c r="F297" s="10">
        <v>45250</v>
      </c>
      <c r="G297" s="9">
        <v>79967</v>
      </c>
      <c r="H297" s="9" t="s">
        <v>16</v>
      </c>
      <c r="I297" s="11">
        <v>-890</v>
      </c>
      <c r="J297" s="11">
        <v>377030</v>
      </c>
    </row>
    <row r="298" spans="1:10" x14ac:dyDescent="0.2">
      <c r="A298" s="8">
        <f t="shared" si="8"/>
        <v>45255</v>
      </c>
      <c r="B298" s="7" t="str">
        <f t="shared" si="9"/>
        <v>297 CHECK</v>
      </c>
      <c r="C298" s="7" t="str">
        <f t="array" ref="C298">IFERROR(INDEX(Mapping!$B$2:$B$22,MATCH('Bank Statement Export'!B298,Mapping!$A$2:$A$22,0)),INDEX(Table3[Category],MATCH(TRUE,ISNUMBER(SEARCH(Table3[Unique ID Contains],B298)),0)))</f>
        <v>Payroll</v>
      </c>
      <c r="D298" s="7" t="str">
        <f>INDEX('Forecast 1'!$B$9:$B$56,MATCH('Bank Statement Export'!C298,'Forecast 1'!$B$9:$B$56,0))</f>
        <v>Payroll</v>
      </c>
      <c r="E298" s="14">
        <v>297</v>
      </c>
      <c r="F298" s="10">
        <v>45250</v>
      </c>
      <c r="G298" s="9">
        <v>79968</v>
      </c>
      <c r="H298" s="9" t="s">
        <v>16</v>
      </c>
      <c r="I298" s="11">
        <v>-970</v>
      </c>
      <c r="J298" s="11">
        <v>376060</v>
      </c>
    </row>
    <row r="299" spans="1:10" x14ac:dyDescent="0.2">
      <c r="A299" s="8">
        <f t="shared" si="8"/>
        <v>45255</v>
      </c>
      <c r="B299" s="7" t="str">
        <f t="shared" si="9"/>
        <v>298 DEPOSIT</v>
      </c>
      <c r="C299" s="7" t="str">
        <f t="array" ref="C299">IFERROR(INDEX(Mapping!$B$2:$B$22,MATCH('Bank Statement Export'!B299,Mapping!$A$2:$A$22,0)),INDEX(Table3[Category],MATCH(TRUE,ISNUMBER(SEARCH(Table3[Unique ID Contains],B299)),0)))</f>
        <v xml:space="preserve">  Invoice Revenue Receipts</v>
      </c>
      <c r="D299" s="7" t="str">
        <f>INDEX('Forecast 1'!$B$9:$B$56,MATCH('Bank Statement Export'!C299,'Forecast 1'!$B$9:$B$56,0))</f>
        <v xml:space="preserve">  Invoice Revenue Receipts</v>
      </c>
      <c r="E299" s="14">
        <v>298</v>
      </c>
      <c r="F299" s="10">
        <v>45251</v>
      </c>
      <c r="G299" s="9" t="s">
        <v>17</v>
      </c>
      <c r="H299" s="9" t="s">
        <v>18</v>
      </c>
      <c r="I299" s="11">
        <v>6310</v>
      </c>
      <c r="J299" s="11">
        <v>382370</v>
      </c>
    </row>
    <row r="300" spans="1:10" x14ac:dyDescent="0.2">
      <c r="A300" s="8">
        <f t="shared" si="8"/>
        <v>45255</v>
      </c>
      <c r="B300" s="7" t="str">
        <f t="shared" si="9"/>
        <v>299 ELECTRONIC WITHDRAWAL GLOWTECH</v>
      </c>
      <c r="C300" s="7" t="str">
        <f t="array" ref="C300">IFERROR(INDEX(Mapping!$B$2:$B$22,MATCH('Bank Statement Export'!B300,Mapping!$A$2:$A$22,0)),INDEX(Table3[Category],MATCH(TRUE,ISNUMBER(SEARCH(Table3[Unique ID Contains],B300)),0)))</f>
        <v>Technology</v>
      </c>
      <c r="D300" s="7" t="str">
        <f>INDEX('Forecast 1'!$B$9:$B$56,MATCH('Bank Statement Export'!C300,'Forecast 1'!$B$9:$B$56,0))</f>
        <v>Technology</v>
      </c>
      <c r="E300" s="14">
        <v>299</v>
      </c>
      <c r="F300" s="10">
        <v>45251</v>
      </c>
      <c r="G300" s="9" t="s">
        <v>14</v>
      </c>
      <c r="H300" s="9" t="s">
        <v>19</v>
      </c>
      <c r="I300" s="11">
        <v>-1020</v>
      </c>
      <c r="J300" s="11">
        <v>381350</v>
      </c>
    </row>
    <row r="301" spans="1:10" x14ac:dyDescent="0.2">
      <c r="A301" s="8">
        <f t="shared" si="8"/>
        <v>45255</v>
      </c>
      <c r="B301" s="7" t="str">
        <f t="shared" si="9"/>
        <v>300 CHECK</v>
      </c>
      <c r="C301" s="7" t="str">
        <f t="array" ref="C301">IFERROR(INDEX(Mapping!$B$2:$B$22,MATCH('Bank Statement Export'!B301,Mapping!$A$2:$A$22,0)),INDEX(Table3[Category],MATCH(TRUE,ISNUMBER(SEARCH(Table3[Unique ID Contains],B301)),0)))</f>
        <v>Accounts Payable</v>
      </c>
      <c r="D301" s="7" t="str">
        <f>INDEX('Forecast 1'!$B$9:$B$56,MATCH('Bank Statement Export'!C301,'Forecast 1'!$B$9:$B$56,0))</f>
        <v>Accounts Payable</v>
      </c>
      <c r="E301" s="14">
        <v>300</v>
      </c>
      <c r="F301" s="10">
        <v>45251</v>
      </c>
      <c r="G301" s="9">
        <v>79963</v>
      </c>
      <c r="H301" s="9" t="s">
        <v>16</v>
      </c>
      <c r="I301" s="11">
        <v>-5250</v>
      </c>
      <c r="J301" s="11">
        <v>376100</v>
      </c>
    </row>
    <row r="302" spans="1:10" x14ac:dyDescent="0.2">
      <c r="A302" s="8">
        <f t="shared" si="8"/>
        <v>45255</v>
      </c>
      <c r="B302" s="7" t="str">
        <f t="shared" si="9"/>
        <v>301 CHECK</v>
      </c>
      <c r="C302" s="7" t="str">
        <f t="array" ref="C302">IFERROR(INDEX(Mapping!$B$2:$B$22,MATCH('Bank Statement Export'!B302,Mapping!$A$2:$A$22,0)),INDEX(Table3[Category],MATCH(TRUE,ISNUMBER(SEARCH(Table3[Unique ID Contains],B302)),0)))</f>
        <v>Payroll</v>
      </c>
      <c r="D302" s="7" t="str">
        <f>INDEX('Forecast 1'!$B$9:$B$56,MATCH('Bank Statement Export'!C302,'Forecast 1'!$B$9:$B$56,0))</f>
        <v>Payroll</v>
      </c>
      <c r="E302" s="14">
        <v>301</v>
      </c>
      <c r="F302" s="10">
        <v>45251</v>
      </c>
      <c r="G302" s="9">
        <v>79966</v>
      </c>
      <c r="H302" s="9" t="s">
        <v>16</v>
      </c>
      <c r="I302" s="11">
        <v>-1330</v>
      </c>
      <c r="J302" s="11">
        <v>374770</v>
      </c>
    </row>
    <row r="303" spans="1:10" x14ac:dyDescent="0.2">
      <c r="A303" s="8">
        <f t="shared" si="8"/>
        <v>45255</v>
      </c>
      <c r="B303" s="7" t="str">
        <f t="shared" si="9"/>
        <v>302 ELECTRONIC WITHDRAWAL STATE DEPT REVENUE</v>
      </c>
      <c r="C303" s="7" t="str">
        <f t="array" ref="C303">IFERROR(INDEX(Mapping!$B$2:$B$22,MATCH('Bank Statement Export'!B303,Mapping!$A$2:$A$22,0)),INDEX(Table3[Category],MATCH(TRUE,ISNUMBER(SEARCH(Table3[Unique ID Contains],B303)),0)))</f>
        <v>Tax Distributions</v>
      </c>
      <c r="D303" s="7" t="str">
        <f>INDEX('Forecast 1'!$B$9:$B$56,MATCH('Bank Statement Export'!C303,'Forecast 1'!$B$9:$B$56,0))</f>
        <v>Tax Distributions</v>
      </c>
      <c r="E303" s="14">
        <v>302</v>
      </c>
      <c r="F303" s="10">
        <v>45252</v>
      </c>
      <c r="G303" s="9" t="s">
        <v>14</v>
      </c>
      <c r="H303" s="9" t="s">
        <v>20</v>
      </c>
      <c r="I303" s="11">
        <v>-2140</v>
      </c>
      <c r="J303" s="11">
        <v>372630</v>
      </c>
    </row>
    <row r="304" spans="1:10" x14ac:dyDescent="0.2">
      <c r="A304" s="8">
        <f t="shared" si="8"/>
        <v>45255</v>
      </c>
      <c r="B304" s="7" t="str">
        <f t="shared" si="9"/>
        <v>303 ELECTRONIC WITHDRAWAL PAYROLL</v>
      </c>
      <c r="C304" s="7" t="str">
        <f t="array" ref="C304">IFERROR(INDEX(Mapping!$B$2:$B$22,MATCH('Bank Statement Export'!B304,Mapping!$A$2:$A$22,0)),INDEX(Table3[Category],MATCH(TRUE,ISNUMBER(SEARCH(Table3[Unique ID Contains],B304)),0)))</f>
        <v>Payroll</v>
      </c>
      <c r="D304" s="7" t="str">
        <f>INDEX('Forecast 1'!$B$9:$B$56,MATCH('Bank Statement Export'!C304,'Forecast 1'!$B$9:$B$56,0))</f>
        <v>Payroll</v>
      </c>
      <c r="E304" s="14">
        <v>303</v>
      </c>
      <c r="F304" s="10">
        <v>45252</v>
      </c>
      <c r="G304" s="9" t="s">
        <v>14</v>
      </c>
      <c r="H304" s="9" t="s">
        <v>22</v>
      </c>
      <c r="I304" s="11">
        <v>-4280</v>
      </c>
      <c r="J304" s="11">
        <v>368350</v>
      </c>
    </row>
    <row r="305" spans="1:10" x14ac:dyDescent="0.2">
      <c r="A305" s="8">
        <f t="shared" si="8"/>
        <v>45255</v>
      </c>
      <c r="B305" s="7" t="str">
        <f t="shared" si="9"/>
        <v>304 ELECTRONIC WITHDRAWAL IRS</v>
      </c>
      <c r="C305" s="7" t="str">
        <f t="array" ref="C305">IFERROR(INDEX(Mapping!$B$2:$B$22,MATCH('Bank Statement Export'!B305,Mapping!$A$2:$A$22,0)),INDEX(Table3[Category],MATCH(TRUE,ISNUMBER(SEARCH(Table3[Unique ID Contains],B305)),0)))</f>
        <v>Tax Distributions</v>
      </c>
      <c r="D305" s="7" t="str">
        <f>INDEX('Forecast 1'!$B$9:$B$56,MATCH('Bank Statement Export'!C305,'Forecast 1'!$B$9:$B$56,0))</f>
        <v>Tax Distributions</v>
      </c>
      <c r="E305" s="14">
        <v>304</v>
      </c>
      <c r="F305" s="10">
        <v>45252</v>
      </c>
      <c r="G305" s="9" t="s">
        <v>14</v>
      </c>
      <c r="H305" s="9" t="s">
        <v>21</v>
      </c>
      <c r="I305" s="11">
        <v>-10540</v>
      </c>
      <c r="J305" s="11">
        <v>357810</v>
      </c>
    </row>
    <row r="306" spans="1:10" x14ac:dyDescent="0.2">
      <c r="A306" s="8">
        <f t="shared" si="8"/>
        <v>45255</v>
      </c>
      <c r="B306" s="7" t="str">
        <f t="shared" si="9"/>
        <v>305 CHECK</v>
      </c>
      <c r="C306" s="7" t="str">
        <f t="array" ref="C306">IFERROR(INDEX(Mapping!$B$2:$B$22,MATCH('Bank Statement Export'!B306,Mapping!$A$2:$A$22,0)),INDEX(Table3[Category],MATCH(TRUE,ISNUMBER(SEARCH(Table3[Unique ID Contains],B306)),0)))</f>
        <v>Payroll</v>
      </c>
      <c r="D306" s="7" t="str">
        <f>INDEX('Forecast 1'!$B$9:$B$56,MATCH('Bank Statement Export'!C306,'Forecast 1'!$B$9:$B$56,0))</f>
        <v>Payroll</v>
      </c>
      <c r="E306" s="14">
        <v>305</v>
      </c>
      <c r="F306" s="10">
        <v>45254</v>
      </c>
      <c r="G306" s="9">
        <v>79991</v>
      </c>
      <c r="H306" s="9" t="s">
        <v>16</v>
      </c>
      <c r="I306" s="11">
        <v>-1370</v>
      </c>
      <c r="J306" s="11">
        <v>356440</v>
      </c>
    </row>
    <row r="307" spans="1:10" x14ac:dyDescent="0.2">
      <c r="A307" s="8">
        <f t="shared" si="8"/>
        <v>45255</v>
      </c>
      <c r="B307" s="7" t="str">
        <f t="shared" si="9"/>
        <v>306 CHECK</v>
      </c>
      <c r="C307" s="7" t="str">
        <f t="array" ref="C307">IFERROR(INDEX(Mapping!$B$2:$B$22,MATCH('Bank Statement Export'!B307,Mapping!$A$2:$A$22,0)),INDEX(Table3[Category],MATCH(TRUE,ISNUMBER(SEARCH(Table3[Unique ID Contains],B307)),0)))</f>
        <v>Payroll</v>
      </c>
      <c r="D307" s="7" t="str">
        <f>INDEX('Forecast 1'!$B$9:$B$56,MATCH('Bank Statement Export'!C307,'Forecast 1'!$B$9:$B$56,0))</f>
        <v>Payroll</v>
      </c>
      <c r="E307" s="14">
        <v>306</v>
      </c>
      <c r="F307" s="10">
        <v>45254</v>
      </c>
      <c r="G307" s="9">
        <v>79986</v>
      </c>
      <c r="H307" s="9" t="s">
        <v>16</v>
      </c>
      <c r="I307" s="11">
        <v>-1080</v>
      </c>
      <c r="J307" s="11">
        <v>355360</v>
      </c>
    </row>
    <row r="308" spans="1:10" x14ac:dyDescent="0.2">
      <c r="A308" s="8">
        <f t="shared" si="8"/>
        <v>45255</v>
      </c>
      <c r="B308" s="7" t="str">
        <f t="shared" si="9"/>
        <v>307 ELECTRONIC WITHDRAWAL GLOWTECH</v>
      </c>
      <c r="C308" s="7" t="str">
        <f t="array" ref="C308">IFERROR(INDEX(Mapping!$B$2:$B$22,MATCH('Bank Statement Export'!B308,Mapping!$A$2:$A$22,0)),INDEX(Table3[Category],MATCH(TRUE,ISNUMBER(SEARCH(Table3[Unique ID Contains],B308)),0)))</f>
        <v>Technology</v>
      </c>
      <c r="D308" s="7" t="str">
        <f>INDEX('Forecast 1'!$B$9:$B$56,MATCH('Bank Statement Export'!C308,'Forecast 1'!$B$9:$B$56,0))</f>
        <v>Technology</v>
      </c>
      <c r="E308" s="14">
        <v>307</v>
      </c>
      <c r="F308" s="10">
        <v>45254</v>
      </c>
      <c r="G308" s="9" t="s">
        <v>14</v>
      </c>
      <c r="H308" s="9" t="s">
        <v>19</v>
      </c>
      <c r="I308" s="11">
        <v>-1110</v>
      </c>
      <c r="J308" s="11">
        <v>354250</v>
      </c>
    </row>
    <row r="309" spans="1:10" x14ac:dyDescent="0.2">
      <c r="A309" s="8">
        <f t="shared" si="8"/>
        <v>45255</v>
      </c>
      <c r="B309" s="7" t="str">
        <f t="shared" si="9"/>
        <v>308 CHECK</v>
      </c>
      <c r="C309" s="7" t="str">
        <f t="array" ref="C309">IFERROR(INDEX(Mapping!$B$2:$B$22,MATCH('Bank Statement Export'!B309,Mapping!$A$2:$A$22,0)),INDEX(Table3[Category],MATCH(TRUE,ISNUMBER(SEARCH(Table3[Unique ID Contains],B309)),0)))</f>
        <v>Payroll</v>
      </c>
      <c r="D309" s="7" t="str">
        <f>INDEX('Forecast 1'!$B$9:$B$56,MATCH('Bank Statement Export'!C309,'Forecast 1'!$B$9:$B$56,0))</f>
        <v>Payroll</v>
      </c>
      <c r="E309" s="14">
        <v>308</v>
      </c>
      <c r="F309" s="10">
        <v>45254</v>
      </c>
      <c r="G309" s="9">
        <v>79766</v>
      </c>
      <c r="H309" s="9" t="s">
        <v>16</v>
      </c>
      <c r="I309" s="11">
        <v>-280</v>
      </c>
      <c r="J309" s="11">
        <v>353970</v>
      </c>
    </row>
    <row r="310" spans="1:10" x14ac:dyDescent="0.2">
      <c r="A310" s="8">
        <f t="shared" si="8"/>
        <v>45255</v>
      </c>
      <c r="B310" s="7" t="str">
        <f t="shared" si="9"/>
        <v>309 CHECK</v>
      </c>
      <c r="C310" s="7" t="str">
        <f t="array" ref="C310">IFERROR(INDEX(Mapping!$B$2:$B$22,MATCH('Bank Statement Export'!B310,Mapping!$A$2:$A$22,0)),INDEX(Table3[Category],MATCH(TRUE,ISNUMBER(SEARCH(Table3[Unique ID Contains],B310)),0)))</f>
        <v>Payroll</v>
      </c>
      <c r="D310" s="7" t="str">
        <f>INDEX('Forecast 1'!$B$9:$B$56,MATCH('Bank Statement Export'!C310,'Forecast 1'!$B$9:$B$56,0))</f>
        <v>Payroll</v>
      </c>
      <c r="E310" s="14">
        <v>309</v>
      </c>
      <c r="F310" s="10">
        <v>45254</v>
      </c>
      <c r="G310" s="9">
        <v>79970</v>
      </c>
      <c r="H310" s="9" t="s">
        <v>16</v>
      </c>
      <c r="I310" s="11">
        <v>-1310</v>
      </c>
      <c r="J310" s="11">
        <v>352660</v>
      </c>
    </row>
    <row r="311" spans="1:10" x14ac:dyDescent="0.2">
      <c r="A311" s="8">
        <f t="shared" si="8"/>
        <v>45255</v>
      </c>
      <c r="B311" s="7" t="str">
        <f t="shared" si="9"/>
        <v>310 CHECK</v>
      </c>
      <c r="C311" s="7" t="str">
        <f t="array" ref="C311">IFERROR(INDEX(Mapping!$B$2:$B$22,MATCH('Bank Statement Export'!B311,Mapping!$A$2:$A$22,0)),INDEX(Table3[Category],MATCH(TRUE,ISNUMBER(SEARCH(Table3[Unique ID Contains],B311)),0)))</f>
        <v>Payroll</v>
      </c>
      <c r="D311" s="7" t="str">
        <f>INDEX('Forecast 1'!$B$9:$B$56,MATCH('Bank Statement Export'!C311,'Forecast 1'!$B$9:$B$56,0))</f>
        <v>Payroll</v>
      </c>
      <c r="E311" s="14">
        <v>310</v>
      </c>
      <c r="F311" s="10">
        <v>45254</v>
      </c>
      <c r="G311" s="9">
        <v>79971</v>
      </c>
      <c r="H311" s="9" t="s">
        <v>16</v>
      </c>
      <c r="I311" s="11">
        <v>-1200</v>
      </c>
      <c r="J311" s="11">
        <v>351460</v>
      </c>
    </row>
    <row r="312" spans="1:10" x14ac:dyDescent="0.2">
      <c r="A312" s="8">
        <f t="shared" si="8"/>
        <v>45255</v>
      </c>
      <c r="B312" s="7" t="str">
        <f t="shared" si="9"/>
        <v>311 CHECK</v>
      </c>
      <c r="C312" s="7" t="str">
        <f t="array" ref="C312">IFERROR(INDEX(Mapping!$B$2:$B$22,MATCH('Bank Statement Export'!B312,Mapping!$A$2:$A$22,0)),INDEX(Table3[Category],MATCH(TRUE,ISNUMBER(SEARCH(Table3[Unique ID Contains],B312)),0)))</f>
        <v>Payroll</v>
      </c>
      <c r="D312" s="7" t="str">
        <f>INDEX('Forecast 1'!$B$9:$B$56,MATCH('Bank Statement Export'!C312,'Forecast 1'!$B$9:$B$56,0))</f>
        <v>Payroll</v>
      </c>
      <c r="E312" s="14">
        <v>311</v>
      </c>
      <c r="F312" s="10">
        <v>45254</v>
      </c>
      <c r="G312" s="9">
        <v>79972</v>
      </c>
      <c r="H312" s="9" t="s">
        <v>16</v>
      </c>
      <c r="I312" s="11">
        <v>-1090</v>
      </c>
      <c r="J312" s="11">
        <v>350370</v>
      </c>
    </row>
    <row r="313" spans="1:10" x14ac:dyDescent="0.2">
      <c r="A313" s="8">
        <f t="shared" si="8"/>
        <v>45255</v>
      </c>
      <c r="B313" s="7" t="str">
        <f t="shared" si="9"/>
        <v>312 CHECK</v>
      </c>
      <c r="C313" s="7" t="str">
        <f t="array" ref="C313">IFERROR(INDEX(Mapping!$B$2:$B$22,MATCH('Bank Statement Export'!B313,Mapping!$A$2:$A$22,0)),INDEX(Table3[Category],MATCH(TRUE,ISNUMBER(SEARCH(Table3[Unique ID Contains],B313)),0)))</f>
        <v>Payroll</v>
      </c>
      <c r="D313" s="7" t="str">
        <f>INDEX('Forecast 1'!$B$9:$B$56,MATCH('Bank Statement Export'!C313,'Forecast 1'!$B$9:$B$56,0))</f>
        <v>Payroll</v>
      </c>
      <c r="E313" s="14">
        <v>312</v>
      </c>
      <c r="F313" s="10">
        <v>45254</v>
      </c>
      <c r="G313" s="9">
        <v>79973</v>
      </c>
      <c r="H313" s="9" t="s">
        <v>16</v>
      </c>
      <c r="I313" s="11">
        <v>-1880</v>
      </c>
      <c r="J313" s="11">
        <v>348490</v>
      </c>
    </row>
    <row r="314" spans="1:10" x14ac:dyDescent="0.2">
      <c r="A314" s="8">
        <f t="shared" si="8"/>
        <v>45255</v>
      </c>
      <c r="B314" s="7" t="str">
        <f t="shared" si="9"/>
        <v>313 CHECK</v>
      </c>
      <c r="C314" s="7" t="str">
        <f t="array" ref="C314">IFERROR(INDEX(Mapping!$B$2:$B$22,MATCH('Bank Statement Export'!B314,Mapping!$A$2:$A$22,0)),INDEX(Table3[Category],MATCH(TRUE,ISNUMBER(SEARCH(Table3[Unique ID Contains],B314)),0)))</f>
        <v>Payroll</v>
      </c>
      <c r="D314" s="7" t="str">
        <f>INDEX('Forecast 1'!$B$9:$B$56,MATCH('Bank Statement Export'!C314,'Forecast 1'!$B$9:$B$56,0))</f>
        <v>Payroll</v>
      </c>
      <c r="E314" s="14">
        <v>313</v>
      </c>
      <c r="F314" s="10">
        <v>45254</v>
      </c>
      <c r="G314" s="9">
        <v>79974</v>
      </c>
      <c r="H314" s="9" t="s">
        <v>16</v>
      </c>
      <c r="I314" s="11">
        <v>-1390</v>
      </c>
      <c r="J314" s="11">
        <v>347100</v>
      </c>
    </row>
    <row r="315" spans="1:10" x14ac:dyDescent="0.2">
      <c r="A315" s="8">
        <f t="shared" si="8"/>
        <v>45255</v>
      </c>
      <c r="B315" s="7" t="str">
        <f t="shared" si="9"/>
        <v>314 CHECK</v>
      </c>
      <c r="C315" s="7" t="str">
        <f t="array" ref="C315">IFERROR(INDEX(Mapping!$B$2:$B$22,MATCH('Bank Statement Export'!B315,Mapping!$A$2:$A$22,0)),INDEX(Table3[Category],MATCH(TRUE,ISNUMBER(SEARCH(Table3[Unique ID Contains],B315)),0)))</f>
        <v>Payroll</v>
      </c>
      <c r="D315" s="7" t="str">
        <f>INDEX('Forecast 1'!$B$9:$B$56,MATCH('Bank Statement Export'!C315,'Forecast 1'!$B$9:$B$56,0))</f>
        <v>Payroll</v>
      </c>
      <c r="E315" s="14">
        <v>314</v>
      </c>
      <c r="F315" s="10">
        <v>45254</v>
      </c>
      <c r="G315" s="9">
        <v>79975</v>
      </c>
      <c r="H315" s="9" t="s">
        <v>16</v>
      </c>
      <c r="I315" s="11">
        <v>-1320</v>
      </c>
      <c r="J315" s="11">
        <v>345780</v>
      </c>
    </row>
    <row r="316" spans="1:10" x14ac:dyDescent="0.2">
      <c r="A316" s="8">
        <f t="shared" si="8"/>
        <v>45255</v>
      </c>
      <c r="B316" s="7" t="str">
        <f t="shared" si="9"/>
        <v>315 CHECK</v>
      </c>
      <c r="C316" s="7" t="str">
        <f t="array" ref="C316">IFERROR(INDEX(Mapping!$B$2:$B$22,MATCH('Bank Statement Export'!B316,Mapping!$A$2:$A$22,0)),INDEX(Table3[Category],MATCH(TRUE,ISNUMBER(SEARCH(Table3[Unique ID Contains],B316)),0)))</f>
        <v>Payroll</v>
      </c>
      <c r="D316" s="7" t="str">
        <f>INDEX('Forecast 1'!$B$9:$B$56,MATCH('Bank Statement Export'!C316,'Forecast 1'!$B$9:$B$56,0))</f>
        <v>Payroll</v>
      </c>
      <c r="E316" s="14">
        <v>315</v>
      </c>
      <c r="F316" s="10">
        <v>45254</v>
      </c>
      <c r="G316" s="9">
        <v>79977</v>
      </c>
      <c r="H316" s="9" t="s">
        <v>16</v>
      </c>
      <c r="I316" s="11">
        <v>-1210</v>
      </c>
      <c r="J316" s="11">
        <v>344570</v>
      </c>
    </row>
    <row r="317" spans="1:10" x14ac:dyDescent="0.2">
      <c r="A317" s="8">
        <f t="shared" si="8"/>
        <v>45255</v>
      </c>
      <c r="B317" s="7" t="str">
        <f t="shared" si="9"/>
        <v>316 CHECK</v>
      </c>
      <c r="C317" s="7" t="str">
        <f t="array" ref="C317">IFERROR(INDEX(Mapping!$B$2:$B$22,MATCH('Bank Statement Export'!B317,Mapping!$A$2:$A$22,0)),INDEX(Table3[Category],MATCH(TRUE,ISNUMBER(SEARCH(Table3[Unique ID Contains],B317)),0)))</f>
        <v>Payroll</v>
      </c>
      <c r="D317" s="7" t="str">
        <f>INDEX('Forecast 1'!$B$9:$B$56,MATCH('Bank Statement Export'!C317,'Forecast 1'!$B$9:$B$56,0))</f>
        <v>Payroll</v>
      </c>
      <c r="E317" s="14">
        <v>316</v>
      </c>
      <c r="F317" s="10">
        <v>45254</v>
      </c>
      <c r="G317" s="9">
        <v>79978</v>
      </c>
      <c r="H317" s="9" t="s">
        <v>16</v>
      </c>
      <c r="I317" s="11">
        <v>-1020</v>
      </c>
      <c r="J317" s="11">
        <v>343550</v>
      </c>
    </row>
    <row r="318" spans="1:10" x14ac:dyDescent="0.2">
      <c r="A318" s="8">
        <f t="shared" si="8"/>
        <v>45255</v>
      </c>
      <c r="B318" s="7" t="str">
        <f t="shared" si="9"/>
        <v>317 CHECK</v>
      </c>
      <c r="C318" s="7" t="str">
        <f t="array" ref="C318">IFERROR(INDEX(Mapping!$B$2:$B$22,MATCH('Bank Statement Export'!B318,Mapping!$A$2:$A$22,0)),INDEX(Table3[Category],MATCH(TRUE,ISNUMBER(SEARCH(Table3[Unique ID Contains],B318)),0)))</f>
        <v>Payroll</v>
      </c>
      <c r="D318" s="7" t="str">
        <f>INDEX('Forecast 1'!$B$9:$B$56,MATCH('Bank Statement Export'!C318,'Forecast 1'!$B$9:$B$56,0))</f>
        <v>Payroll</v>
      </c>
      <c r="E318" s="14">
        <v>317</v>
      </c>
      <c r="F318" s="10">
        <v>45254</v>
      </c>
      <c r="G318" s="9">
        <v>79979</v>
      </c>
      <c r="H318" s="9" t="s">
        <v>16</v>
      </c>
      <c r="I318" s="11">
        <v>-1170</v>
      </c>
      <c r="J318" s="11">
        <v>342380</v>
      </c>
    </row>
    <row r="319" spans="1:10" x14ac:dyDescent="0.2">
      <c r="A319" s="8">
        <f t="shared" si="8"/>
        <v>45255</v>
      </c>
      <c r="B319" s="7" t="str">
        <f t="shared" si="9"/>
        <v>318 CHECK</v>
      </c>
      <c r="C319" s="7" t="str">
        <f t="array" ref="C319">IFERROR(INDEX(Mapping!$B$2:$B$22,MATCH('Bank Statement Export'!B319,Mapping!$A$2:$A$22,0)),INDEX(Table3[Category],MATCH(TRUE,ISNUMBER(SEARCH(Table3[Unique ID Contains],B319)),0)))</f>
        <v>Payroll</v>
      </c>
      <c r="D319" s="7" t="str">
        <f>INDEX('Forecast 1'!$B$9:$B$56,MATCH('Bank Statement Export'!C319,'Forecast 1'!$B$9:$B$56,0))</f>
        <v>Payroll</v>
      </c>
      <c r="E319" s="14">
        <v>318</v>
      </c>
      <c r="F319" s="10">
        <v>45254</v>
      </c>
      <c r="G319" s="9">
        <v>79980</v>
      </c>
      <c r="H319" s="9" t="s">
        <v>16</v>
      </c>
      <c r="I319" s="11">
        <v>-1210</v>
      </c>
      <c r="J319" s="11">
        <v>341170</v>
      </c>
    </row>
    <row r="320" spans="1:10" x14ac:dyDescent="0.2">
      <c r="A320" s="8">
        <f t="shared" si="8"/>
        <v>45255</v>
      </c>
      <c r="B320" s="7" t="str">
        <f t="shared" si="9"/>
        <v>319 CHECK</v>
      </c>
      <c r="C320" s="7" t="str">
        <f t="array" ref="C320">IFERROR(INDEX(Mapping!$B$2:$B$22,MATCH('Bank Statement Export'!B320,Mapping!$A$2:$A$22,0)),INDEX(Table3[Category],MATCH(TRUE,ISNUMBER(SEARCH(Table3[Unique ID Contains],B320)),0)))</f>
        <v>Payroll</v>
      </c>
      <c r="D320" s="7" t="str">
        <f>INDEX('Forecast 1'!$B$9:$B$56,MATCH('Bank Statement Export'!C320,'Forecast 1'!$B$9:$B$56,0))</f>
        <v>Payroll</v>
      </c>
      <c r="E320" s="14">
        <v>319</v>
      </c>
      <c r="F320" s="10">
        <v>45254</v>
      </c>
      <c r="G320" s="9">
        <v>79982</v>
      </c>
      <c r="H320" s="9" t="s">
        <v>16</v>
      </c>
      <c r="I320" s="11">
        <v>-1180</v>
      </c>
      <c r="J320" s="11">
        <v>339990</v>
      </c>
    </row>
    <row r="321" spans="1:10" x14ac:dyDescent="0.2">
      <c r="A321" s="8">
        <f t="shared" si="8"/>
        <v>45255</v>
      </c>
      <c r="B321" s="7" t="str">
        <f t="shared" si="9"/>
        <v>320 CHECK</v>
      </c>
      <c r="C321" s="7" t="str">
        <f t="array" ref="C321">IFERROR(INDEX(Mapping!$B$2:$B$22,MATCH('Bank Statement Export'!B321,Mapping!$A$2:$A$22,0)),INDEX(Table3[Category],MATCH(TRUE,ISNUMBER(SEARCH(Table3[Unique ID Contains],B321)),0)))</f>
        <v>Payroll</v>
      </c>
      <c r="D321" s="7" t="str">
        <f>INDEX('Forecast 1'!$B$9:$B$56,MATCH('Bank Statement Export'!C321,'Forecast 1'!$B$9:$B$56,0))</f>
        <v>Payroll</v>
      </c>
      <c r="E321" s="14">
        <v>320</v>
      </c>
      <c r="F321" s="10">
        <v>45254</v>
      </c>
      <c r="G321" s="9">
        <v>79983</v>
      </c>
      <c r="H321" s="9" t="s">
        <v>16</v>
      </c>
      <c r="I321" s="11">
        <v>-1470</v>
      </c>
      <c r="J321" s="11">
        <v>338520</v>
      </c>
    </row>
    <row r="322" spans="1:10" x14ac:dyDescent="0.2">
      <c r="A322" s="8">
        <f t="shared" si="8"/>
        <v>45255</v>
      </c>
      <c r="B322" s="7" t="str">
        <f t="shared" si="9"/>
        <v>321 CHECK</v>
      </c>
      <c r="C322" s="7" t="str">
        <f t="array" ref="C322">IFERROR(INDEX(Mapping!$B$2:$B$22,MATCH('Bank Statement Export'!B322,Mapping!$A$2:$A$22,0)),INDEX(Table3[Category],MATCH(TRUE,ISNUMBER(SEARCH(Table3[Unique ID Contains],B322)),0)))</f>
        <v>Payroll</v>
      </c>
      <c r="D322" s="7" t="str">
        <f>INDEX('Forecast 1'!$B$9:$B$56,MATCH('Bank Statement Export'!C322,'Forecast 1'!$B$9:$B$56,0))</f>
        <v>Payroll</v>
      </c>
      <c r="E322" s="14">
        <v>321</v>
      </c>
      <c r="F322" s="10">
        <v>45254</v>
      </c>
      <c r="G322" s="9">
        <v>79984</v>
      </c>
      <c r="H322" s="9" t="s">
        <v>16</v>
      </c>
      <c r="I322" s="11">
        <v>-990</v>
      </c>
      <c r="J322" s="11">
        <v>337530</v>
      </c>
    </row>
    <row r="323" spans="1:10" x14ac:dyDescent="0.2">
      <c r="A323" s="8">
        <f t="shared" ref="A323:A381" si="10">F323+7-WEEKDAY(F323)</f>
        <v>45255</v>
      </c>
      <c r="B323" s="7" t="str">
        <f t="shared" ref="B323:B381" si="11">CONCATENATE(E323," ",H323)</f>
        <v>322 CHECK</v>
      </c>
      <c r="C323" s="7" t="str">
        <f t="array" ref="C323">IFERROR(INDEX(Mapping!$B$2:$B$22,MATCH('Bank Statement Export'!B323,Mapping!$A$2:$A$22,0)),INDEX(Table3[Category],MATCH(TRUE,ISNUMBER(SEARCH(Table3[Unique ID Contains],B323)),0)))</f>
        <v>Payroll</v>
      </c>
      <c r="D323" s="7" t="str">
        <f>INDEX('Forecast 1'!$B$9:$B$56,MATCH('Bank Statement Export'!C323,'Forecast 1'!$B$9:$B$56,0))</f>
        <v>Payroll</v>
      </c>
      <c r="E323" s="14">
        <v>322</v>
      </c>
      <c r="F323" s="10">
        <v>45254</v>
      </c>
      <c r="G323" s="9">
        <v>79985</v>
      </c>
      <c r="H323" s="9" t="s">
        <v>16</v>
      </c>
      <c r="I323" s="11">
        <v>-1520</v>
      </c>
      <c r="J323" s="11">
        <v>336010</v>
      </c>
    </row>
    <row r="324" spans="1:10" x14ac:dyDescent="0.2">
      <c r="A324" s="8">
        <f t="shared" si="10"/>
        <v>45255</v>
      </c>
      <c r="B324" s="7" t="str">
        <f t="shared" si="11"/>
        <v>323 CHECK</v>
      </c>
      <c r="C324" s="7" t="str">
        <f t="array" ref="C324">IFERROR(INDEX(Mapping!$B$2:$B$22,MATCH('Bank Statement Export'!B324,Mapping!$A$2:$A$22,0)),INDEX(Table3[Category],MATCH(TRUE,ISNUMBER(SEARCH(Table3[Unique ID Contains],B324)),0)))</f>
        <v>Payroll</v>
      </c>
      <c r="D324" s="7" t="str">
        <f>INDEX('Forecast 1'!$B$9:$B$56,MATCH('Bank Statement Export'!C324,'Forecast 1'!$B$9:$B$56,0))</f>
        <v>Payroll</v>
      </c>
      <c r="E324" s="14">
        <v>323</v>
      </c>
      <c r="F324" s="10">
        <v>45254</v>
      </c>
      <c r="G324" s="9">
        <v>79990</v>
      </c>
      <c r="H324" s="9" t="s">
        <v>16</v>
      </c>
      <c r="I324" s="11">
        <v>-1070</v>
      </c>
      <c r="J324" s="11">
        <v>334940</v>
      </c>
    </row>
    <row r="325" spans="1:10" x14ac:dyDescent="0.2">
      <c r="A325" s="8">
        <f t="shared" si="10"/>
        <v>45255</v>
      </c>
      <c r="B325" s="7" t="str">
        <f t="shared" si="11"/>
        <v>324 CHECK</v>
      </c>
      <c r="C325" s="7" t="str">
        <f t="array" ref="C325">IFERROR(INDEX(Mapping!$B$2:$B$22,MATCH('Bank Statement Export'!B325,Mapping!$A$2:$A$22,0)),INDEX(Table3[Category],MATCH(TRUE,ISNUMBER(SEARCH(Table3[Unique ID Contains],B325)),0)))</f>
        <v>Payroll</v>
      </c>
      <c r="D325" s="7" t="str">
        <f>INDEX('Forecast 1'!$B$9:$B$56,MATCH('Bank Statement Export'!C325,'Forecast 1'!$B$9:$B$56,0))</f>
        <v>Payroll</v>
      </c>
      <c r="E325" s="14">
        <v>324</v>
      </c>
      <c r="F325" s="10">
        <v>45254</v>
      </c>
      <c r="G325" s="9">
        <v>79992</v>
      </c>
      <c r="H325" s="9" t="s">
        <v>16</v>
      </c>
      <c r="I325" s="11">
        <v>-1600</v>
      </c>
      <c r="J325" s="11">
        <v>333340</v>
      </c>
    </row>
    <row r="326" spans="1:10" x14ac:dyDescent="0.2">
      <c r="A326" s="8">
        <f t="shared" si="10"/>
        <v>45255</v>
      </c>
      <c r="B326" s="7" t="str">
        <f t="shared" si="11"/>
        <v>325 CHECK</v>
      </c>
      <c r="C326" s="7" t="str">
        <f t="array" ref="C326">IFERROR(INDEX(Mapping!$B$2:$B$22,MATCH('Bank Statement Export'!B326,Mapping!$A$2:$A$22,0)),INDEX(Table3[Category],MATCH(TRUE,ISNUMBER(SEARCH(Table3[Unique ID Contains],B326)),0)))</f>
        <v>Payroll</v>
      </c>
      <c r="D326" s="7" t="str">
        <f>INDEX('Forecast 1'!$B$9:$B$56,MATCH('Bank Statement Export'!C326,'Forecast 1'!$B$9:$B$56,0))</f>
        <v>Payroll</v>
      </c>
      <c r="E326" s="14">
        <v>325</v>
      </c>
      <c r="F326" s="10">
        <v>45254</v>
      </c>
      <c r="G326" s="9">
        <v>79993</v>
      </c>
      <c r="H326" s="9" t="s">
        <v>16</v>
      </c>
      <c r="I326" s="11">
        <v>-1060</v>
      </c>
      <c r="J326" s="11">
        <v>332280</v>
      </c>
    </row>
    <row r="327" spans="1:10" x14ac:dyDescent="0.2">
      <c r="A327" s="8">
        <f t="shared" si="10"/>
        <v>45255</v>
      </c>
      <c r="B327" s="7" t="str">
        <f t="shared" si="11"/>
        <v>326 CHECK</v>
      </c>
      <c r="C327" s="7" t="str">
        <f t="array" ref="C327">IFERROR(INDEX(Mapping!$B$2:$B$22,MATCH('Bank Statement Export'!B327,Mapping!$A$2:$A$22,0)),INDEX(Table3[Category],MATCH(TRUE,ISNUMBER(SEARCH(Table3[Unique ID Contains],B327)),0)))</f>
        <v>Payroll</v>
      </c>
      <c r="D327" s="7" t="str">
        <f>INDEX('Forecast 1'!$B$9:$B$56,MATCH('Bank Statement Export'!C327,'Forecast 1'!$B$9:$B$56,0))</f>
        <v>Payroll</v>
      </c>
      <c r="E327" s="14">
        <v>326</v>
      </c>
      <c r="F327" s="10">
        <v>45254</v>
      </c>
      <c r="G327" s="9">
        <v>79994</v>
      </c>
      <c r="H327" s="9" t="s">
        <v>16</v>
      </c>
      <c r="I327" s="11">
        <v>-1270</v>
      </c>
      <c r="J327" s="11">
        <v>331010</v>
      </c>
    </row>
    <row r="328" spans="1:10" x14ac:dyDescent="0.2">
      <c r="A328" s="8">
        <f t="shared" si="10"/>
        <v>45255</v>
      </c>
      <c r="B328" s="7" t="str">
        <f t="shared" si="11"/>
        <v>327 CHECK</v>
      </c>
      <c r="C328" s="7" t="str">
        <f t="array" ref="C328">IFERROR(INDEX(Mapping!$B$2:$B$22,MATCH('Bank Statement Export'!B328,Mapping!$A$2:$A$22,0)),INDEX(Table3[Category],MATCH(TRUE,ISNUMBER(SEARCH(Table3[Unique ID Contains],B328)),0)))</f>
        <v>Payroll</v>
      </c>
      <c r="D328" s="7" t="str">
        <f>INDEX('Forecast 1'!$B$9:$B$56,MATCH('Bank Statement Export'!C328,'Forecast 1'!$B$9:$B$56,0))</f>
        <v>Payroll</v>
      </c>
      <c r="E328" s="14">
        <v>327</v>
      </c>
      <c r="F328" s="10">
        <v>45254</v>
      </c>
      <c r="G328" s="9">
        <v>79995</v>
      </c>
      <c r="H328" s="9" t="s">
        <v>16</v>
      </c>
      <c r="I328" s="11">
        <v>-1160</v>
      </c>
      <c r="J328" s="11">
        <v>329850</v>
      </c>
    </row>
    <row r="329" spans="1:10" x14ac:dyDescent="0.2">
      <c r="A329" s="8">
        <f t="shared" si="10"/>
        <v>45255</v>
      </c>
      <c r="B329" s="7" t="str">
        <f t="shared" si="11"/>
        <v>328 CHECK</v>
      </c>
      <c r="C329" s="7" t="str">
        <f t="array" ref="C329">IFERROR(INDEX(Mapping!$B$2:$B$22,MATCH('Bank Statement Export'!B329,Mapping!$A$2:$A$22,0)),INDEX(Table3[Category],MATCH(TRUE,ISNUMBER(SEARCH(Table3[Unique ID Contains],B329)),0)))</f>
        <v>Payroll</v>
      </c>
      <c r="D329" s="7" t="str">
        <f>INDEX('Forecast 1'!$B$9:$B$56,MATCH('Bank Statement Export'!C329,'Forecast 1'!$B$9:$B$56,0))</f>
        <v>Payroll</v>
      </c>
      <c r="E329" s="14">
        <v>328</v>
      </c>
      <c r="F329" s="10">
        <v>45254</v>
      </c>
      <c r="G329" s="9">
        <v>79996</v>
      </c>
      <c r="H329" s="9" t="s">
        <v>16</v>
      </c>
      <c r="I329" s="11">
        <v>-1230</v>
      </c>
      <c r="J329" s="11">
        <v>328620</v>
      </c>
    </row>
    <row r="330" spans="1:10" x14ac:dyDescent="0.2">
      <c r="A330" s="8">
        <f t="shared" si="10"/>
        <v>45255</v>
      </c>
      <c r="B330" s="7" t="str">
        <f t="shared" si="11"/>
        <v>329 CHECK</v>
      </c>
      <c r="C330" s="7" t="str">
        <f t="array" ref="C330">IFERROR(INDEX(Mapping!$B$2:$B$22,MATCH('Bank Statement Export'!B330,Mapping!$A$2:$A$22,0)),INDEX(Table3[Category],MATCH(TRUE,ISNUMBER(SEARCH(Table3[Unique ID Contains],B330)),0)))</f>
        <v>Payroll</v>
      </c>
      <c r="D330" s="7" t="str">
        <f>INDEX('Forecast 1'!$B$9:$B$56,MATCH('Bank Statement Export'!C330,'Forecast 1'!$B$9:$B$56,0))</f>
        <v>Payroll</v>
      </c>
      <c r="E330" s="14">
        <v>329</v>
      </c>
      <c r="F330" s="10">
        <v>45254</v>
      </c>
      <c r="G330" s="9">
        <v>79997</v>
      </c>
      <c r="H330" s="9" t="s">
        <v>16</v>
      </c>
      <c r="I330" s="11">
        <v>-1320</v>
      </c>
      <c r="J330" s="11">
        <v>327300</v>
      </c>
    </row>
    <row r="331" spans="1:10" x14ac:dyDescent="0.2">
      <c r="A331" s="8">
        <f t="shared" si="10"/>
        <v>45255</v>
      </c>
      <c r="B331" s="7" t="str">
        <f t="shared" si="11"/>
        <v>330 CHECK</v>
      </c>
      <c r="C331" s="7" t="str">
        <f t="array" ref="C331">IFERROR(INDEX(Mapping!$B$2:$B$22,MATCH('Bank Statement Export'!B331,Mapping!$A$2:$A$22,0)),INDEX(Table3[Category],MATCH(TRUE,ISNUMBER(SEARCH(Table3[Unique ID Contains],B331)),0)))</f>
        <v>Payroll</v>
      </c>
      <c r="D331" s="7" t="str">
        <f>INDEX('Forecast 1'!$B$9:$B$56,MATCH('Bank Statement Export'!C331,'Forecast 1'!$B$9:$B$56,0))</f>
        <v>Payroll</v>
      </c>
      <c r="E331" s="14">
        <v>330</v>
      </c>
      <c r="F331" s="10">
        <v>45254</v>
      </c>
      <c r="G331" s="9">
        <v>80000</v>
      </c>
      <c r="H331" s="9" t="s">
        <v>16</v>
      </c>
      <c r="I331" s="11">
        <v>-950</v>
      </c>
      <c r="J331" s="11">
        <v>326350</v>
      </c>
    </row>
    <row r="332" spans="1:10" x14ac:dyDescent="0.2">
      <c r="A332" s="8">
        <f t="shared" si="10"/>
        <v>45255</v>
      </c>
      <c r="B332" s="7" t="str">
        <f t="shared" si="11"/>
        <v>331 CHECK</v>
      </c>
      <c r="C332" s="7" t="str">
        <f t="array" ref="C332">IFERROR(INDEX(Mapping!$B$2:$B$22,MATCH('Bank Statement Export'!B332,Mapping!$A$2:$A$22,0)),INDEX(Table3[Category],MATCH(TRUE,ISNUMBER(SEARCH(Table3[Unique ID Contains],B332)),0)))</f>
        <v>Payroll</v>
      </c>
      <c r="D332" s="7" t="str">
        <f>INDEX('Forecast 1'!$B$9:$B$56,MATCH('Bank Statement Export'!C332,'Forecast 1'!$B$9:$B$56,0))</f>
        <v>Payroll</v>
      </c>
      <c r="E332" s="14">
        <v>331</v>
      </c>
      <c r="F332" s="10">
        <v>45254</v>
      </c>
      <c r="G332" s="9">
        <v>80002</v>
      </c>
      <c r="H332" s="9" t="s">
        <v>16</v>
      </c>
      <c r="I332" s="11">
        <v>-1090</v>
      </c>
      <c r="J332" s="11">
        <v>325260</v>
      </c>
    </row>
    <row r="333" spans="1:10" x14ac:dyDescent="0.2">
      <c r="A333" s="8">
        <f t="shared" si="10"/>
        <v>45262</v>
      </c>
      <c r="B333" s="7" t="str">
        <f t="shared" si="11"/>
        <v>332 WEB AUTHORIZED PMT KRYPTONIX</v>
      </c>
      <c r="C333" s="7" t="str">
        <f t="array" ref="C333">IFERROR(INDEX(Mapping!$B$2:$B$22,MATCH('Bank Statement Export'!B333,Mapping!$A$2:$A$22,0)),INDEX(Table3[Category],MATCH(TRUE,ISNUMBER(SEARCH(Table3[Unique ID Contains],B333)),0)))</f>
        <v>Dues &amp; Subscriptions</v>
      </c>
      <c r="D333" s="7" t="str">
        <f>INDEX('Forecast 1'!$B$9:$B$56,MATCH('Bank Statement Export'!C333,'Forecast 1'!$B$9:$B$56,0))</f>
        <v>Dues &amp; Subscriptions</v>
      </c>
      <c r="E333" s="14">
        <v>332</v>
      </c>
      <c r="F333" s="10">
        <v>45257</v>
      </c>
      <c r="G333" s="9" t="s">
        <v>14</v>
      </c>
      <c r="H333" s="9" t="s">
        <v>15</v>
      </c>
      <c r="I333" s="11">
        <v>-80</v>
      </c>
      <c r="J333" s="11">
        <v>325180</v>
      </c>
    </row>
    <row r="334" spans="1:10" x14ac:dyDescent="0.2">
      <c r="A334" s="8">
        <f t="shared" si="10"/>
        <v>45262</v>
      </c>
      <c r="B334" s="7" t="str">
        <f t="shared" si="11"/>
        <v>333 WEB AUTHORIZED PMT KRYPTONIX</v>
      </c>
      <c r="C334" s="7" t="str">
        <f t="array" ref="C334">IFERROR(INDEX(Mapping!$B$2:$B$22,MATCH('Bank Statement Export'!B334,Mapping!$A$2:$A$22,0)),INDEX(Table3[Category],MATCH(TRUE,ISNUMBER(SEARCH(Table3[Unique ID Contains],B334)),0)))</f>
        <v>Dues &amp; Subscriptions</v>
      </c>
      <c r="D334" s="7" t="str">
        <f>INDEX('Forecast 1'!$B$9:$B$56,MATCH('Bank Statement Export'!C334,'Forecast 1'!$B$9:$B$56,0))</f>
        <v>Dues &amp; Subscriptions</v>
      </c>
      <c r="E334" s="14">
        <v>333</v>
      </c>
      <c r="F334" s="10">
        <v>45257</v>
      </c>
      <c r="G334" s="9" t="s">
        <v>14</v>
      </c>
      <c r="H334" s="9" t="s">
        <v>15</v>
      </c>
      <c r="I334" s="11">
        <v>-230</v>
      </c>
      <c r="J334" s="11">
        <v>324950</v>
      </c>
    </row>
    <row r="335" spans="1:10" x14ac:dyDescent="0.2">
      <c r="A335" s="8">
        <f t="shared" si="10"/>
        <v>45262</v>
      </c>
      <c r="B335" s="7" t="str">
        <f t="shared" si="11"/>
        <v>334 ELECTRONIC WITHDRAWAL CRYONIX</v>
      </c>
      <c r="C335" s="7" t="str">
        <f t="array" ref="C335">IFERROR(INDEX(Mapping!$B$2:$B$22,MATCH('Bank Statement Export'!B335,Mapping!$A$2:$A$22,0)),INDEX(Table3[Category],MATCH(TRUE,ISNUMBER(SEARCH(Table3[Unique ID Contains],B335)),0)))</f>
        <v>Other Operating Outflows</v>
      </c>
      <c r="D335" s="7" t="str">
        <f>INDEX('Forecast 1'!$B$9:$B$56,MATCH('Bank Statement Export'!C335,'Forecast 1'!$B$9:$B$56,0))</f>
        <v>Other Operating Outflows</v>
      </c>
      <c r="E335" s="14">
        <v>334</v>
      </c>
      <c r="F335" s="10">
        <v>45257</v>
      </c>
      <c r="G335" s="9" t="s">
        <v>14</v>
      </c>
      <c r="H335" s="9" t="s">
        <v>24</v>
      </c>
      <c r="I335" s="11">
        <v>-1270</v>
      </c>
      <c r="J335" s="11">
        <v>323680</v>
      </c>
    </row>
    <row r="336" spans="1:10" x14ac:dyDescent="0.2">
      <c r="A336" s="8">
        <f t="shared" si="10"/>
        <v>45262</v>
      </c>
      <c r="B336" s="7" t="str">
        <f t="shared" si="11"/>
        <v>335 CHECK</v>
      </c>
      <c r="C336" s="7" t="str">
        <f t="array" ref="C336">IFERROR(INDEX(Mapping!$B$2:$B$22,MATCH('Bank Statement Export'!B336,Mapping!$A$2:$A$22,0)),INDEX(Table3[Category],MATCH(TRUE,ISNUMBER(SEARCH(Table3[Unique ID Contains],B336)),0)))</f>
        <v>Payroll</v>
      </c>
      <c r="D336" s="7" t="str">
        <f>INDEX('Forecast 1'!$B$9:$B$56,MATCH('Bank Statement Export'!C336,'Forecast 1'!$B$9:$B$56,0))</f>
        <v>Payroll</v>
      </c>
      <c r="E336" s="14">
        <v>335</v>
      </c>
      <c r="F336" s="10">
        <v>45257</v>
      </c>
      <c r="G336" s="9">
        <v>79948</v>
      </c>
      <c r="H336" s="9" t="s">
        <v>16</v>
      </c>
      <c r="I336" s="11">
        <v>-1090</v>
      </c>
      <c r="J336" s="11">
        <v>322590</v>
      </c>
    </row>
    <row r="337" spans="1:10" x14ac:dyDescent="0.2">
      <c r="A337" s="8">
        <f t="shared" si="10"/>
        <v>45262</v>
      </c>
      <c r="B337" s="7" t="str">
        <f t="shared" si="11"/>
        <v>336 CHECK</v>
      </c>
      <c r="C337" s="7" t="str">
        <f t="array" ref="C337">IFERROR(INDEX(Mapping!$B$2:$B$22,MATCH('Bank Statement Export'!B337,Mapping!$A$2:$A$22,0)),INDEX(Table3[Category],MATCH(TRUE,ISNUMBER(SEARCH(Table3[Unique ID Contains],B337)),0)))</f>
        <v>Payroll</v>
      </c>
      <c r="D337" s="7" t="str">
        <f>INDEX('Forecast 1'!$B$9:$B$56,MATCH('Bank Statement Export'!C337,'Forecast 1'!$B$9:$B$56,0))</f>
        <v>Payroll</v>
      </c>
      <c r="E337" s="14">
        <v>336</v>
      </c>
      <c r="F337" s="10">
        <v>45257</v>
      </c>
      <c r="G337" s="9">
        <v>79969</v>
      </c>
      <c r="H337" s="9" t="s">
        <v>16</v>
      </c>
      <c r="I337" s="11">
        <v>-100</v>
      </c>
      <c r="J337" s="11">
        <v>322490</v>
      </c>
    </row>
    <row r="338" spans="1:10" x14ac:dyDescent="0.2">
      <c r="A338" s="8">
        <f t="shared" si="10"/>
        <v>45262</v>
      </c>
      <c r="B338" s="7" t="str">
        <f t="shared" si="11"/>
        <v>337 CHECK</v>
      </c>
      <c r="C338" s="7" t="str">
        <f t="array" ref="C338">IFERROR(INDEX(Mapping!$B$2:$B$22,MATCH('Bank Statement Export'!B338,Mapping!$A$2:$A$22,0)),INDEX(Table3[Category],MATCH(TRUE,ISNUMBER(SEARCH(Table3[Unique ID Contains],B338)),0)))</f>
        <v>Payroll</v>
      </c>
      <c r="D338" s="7" t="str">
        <f>INDEX('Forecast 1'!$B$9:$B$56,MATCH('Bank Statement Export'!C338,'Forecast 1'!$B$9:$B$56,0))</f>
        <v>Payroll</v>
      </c>
      <c r="E338" s="14">
        <v>337</v>
      </c>
      <c r="F338" s="10">
        <v>45257</v>
      </c>
      <c r="G338" s="9">
        <v>79976</v>
      </c>
      <c r="H338" s="9" t="s">
        <v>16</v>
      </c>
      <c r="I338" s="11">
        <v>-1320</v>
      </c>
      <c r="J338" s="11">
        <v>321170</v>
      </c>
    </row>
    <row r="339" spans="1:10" x14ac:dyDescent="0.2">
      <c r="A339" s="8">
        <f t="shared" si="10"/>
        <v>45262</v>
      </c>
      <c r="B339" s="7" t="str">
        <f t="shared" si="11"/>
        <v>338 CHECK</v>
      </c>
      <c r="C339" s="7" t="str">
        <f t="array" ref="C339">IFERROR(INDEX(Mapping!$B$2:$B$22,MATCH('Bank Statement Export'!B339,Mapping!$A$2:$A$22,0)),INDEX(Table3[Category],MATCH(TRUE,ISNUMBER(SEARCH(Table3[Unique ID Contains],B339)),0)))</f>
        <v>Payroll</v>
      </c>
      <c r="D339" s="7" t="str">
        <f>INDEX('Forecast 1'!$B$9:$B$56,MATCH('Bank Statement Export'!C339,'Forecast 1'!$B$9:$B$56,0))</f>
        <v>Payroll</v>
      </c>
      <c r="E339" s="14">
        <v>338</v>
      </c>
      <c r="F339" s="10">
        <v>45257</v>
      </c>
      <c r="G339" s="9">
        <v>79981</v>
      </c>
      <c r="H339" s="9" t="s">
        <v>16</v>
      </c>
      <c r="I339" s="11">
        <v>-960</v>
      </c>
      <c r="J339" s="11">
        <v>320210</v>
      </c>
    </row>
    <row r="340" spans="1:10" x14ac:dyDescent="0.2">
      <c r="A340" s="8">
        <f t="shared" si="10"/>
        <v>45262</v>
      </c>
      <c r="B340" s="7" t="str">
        <f t="shared" si="11"/>
        <v>339 CHECK</v>
      </c>
      <c r="C340" s="7" t="str">
        <f t="array" ref="C340">IFERROR(INDEX(Mapping!$B$2:$B$22,MATCH('Bank Statement Export'!B340,Mapping!$A$2:$A$22,0)),INDEX(Table3[Category],MATCH(TRUE,ISNUMBER(SEARCH(Table3[Unique ID Contains],B340)),0)))</f>
        <v>Payroll</v>
      </c>
      <c r="D340" s="7" t="str">
        <f>INDEX('Forecast 1'!$B$9:$B$56,MATCH('Bank Statement Export'!C340,'Forecast 1'!$B$9:$B$56,0))</f>
        <v>Payroll</v>
      </c>
      <c r="E340" s="14">
        <v>339</v>
      </c>
      <c r="F340" s="10">
        <v>45257</v>
      </c>
      <c r="G340" s="9">
        <v>79987</v>
      </c>
      <c r="H340" s="9" t="s">
        <v>16</v>
      </c>
      <c r="I340" s="11">
        <v>-800</v>
      </c>
      <c r="J340" s="11">
        <v>319410</v>
      </c>
    </row>
    <row r="341" spans="1:10" x14ac:dyDescent="0.2">
      <c r="A341" s="8">
        <f t="shared" si="10"/>
        <v>45262</v>
      </c>
      <c r="B341" s="7" t="str">
        <f t="shared" si="11"/>
        <v>340 CHECK</v>
      </c>
      <c r="C341" s="7" t="str">
        <f t="array" ref="C341">IFERROR(INDEX(Mapping!$B$2:$B$22,MATCH('Bank Statement Export'!B341,Mapping!$A$2:$A$22,0)),INDEX(Table3[Category],MATCH(TRUE,ISNUMBER(SEARCH(Table3[Unique ID Contains],B341)),0)))</f>
        <v>Payroll</v>
      </c>
      <c r="D341" s="7" t="str">
        <f>INDEX('Forecast 1'!$B$9:$B$56,MATCH('Bank Statement Export'!C341,'Forecast 1'!$B$9:$B$56,0))</f>
        <v>Payroll</v>
      </c>
      <c r="E341" s="14">
        <v>340</v>
      </c>
      <c r="F341" s="10">
        <v>45257</v>
      </c>
      <c r="G341" s="9">
        <v>79998</v>
      </c>
      <c r="H341" s="9" t="s">
        <v>16</v>
      </c>
      <c r="I341" s="11">
        <v>-1030</v>
      </c>
      <c r="J341" s="11">
        <v>318380</v>
      </c>
    </row>
    <row r="342" spans="1:10" x14ac:dyDescent="0.2">
      <c r="A342" s="8">
        <f t="shared" si="10"/>
        <v>45262</v>
      </c>
      <c r="B342" s="7" t="str">
        <f t="shared" si="11"/>
        <v>341 DEPOSIT</v>
      </c>
      <c r="C342" s="7" t="str">
        <f t="array" ref="C342">IFERROR(INDEX(Mapping!$B$2:$B$22,MATCH('Bank Statement Export'!B342,Mapping!$A$2:$A$22,0)),INDEX(Table3[Category],MATCH(TRUE,ISNUMBER(SEARCH(Table3[Unique ID Contains],B342)),0)))</f>
        <v xml:space="preserve">  Invoice Revenue Receipts</v>
      </c>
      <c r="D342" s="7" t="str">
        <f>INDEX('Forecast 1'!$B$9:$B$56,MATCH('Bank Statement Export'!C342,'Forecast 1'!$B$9:$B$56,0))</f>
        <v xml:space="preserve">  Invoice Revenue Receipts</v>
      </c>
      <c r="E342" s="14">
        <v>341</v>
      </c>
      <c r="F342" s="10">
        <v>45258</v>
      </c>
      <c r="G342" s="9" t="s">
        <v>17</v>
      </c>
      <c r="H342" s="9" t="s">
        <v>18</v>
      </c>
      <c r="I342" s="11">
        <v>36250</v>
      </c>
      <c r="J342" s="11">
        <v>354630</v>
      </c>
    </row>
    <row r="343" spans="1:10" x14ac:dyDescent="0.2">
      <c r="A343" s="8">
        <f t="shared" si="10"/>
        <v>45262</v>
      </c>
      <c r="B343" s="7" t="str">
        <f t="shared" si="11"/>
        <v>342 ELECTRONIC WITHDRAWAL FRACTALIX</v>
      </c>
      <c r="C343" s="7" t="str">
        <f t="array" ref="C343">IFERROR(INDEX(Mapping!$B$2:$B$22,MATCH('Bank Statement Export'!B343,Mapping!$A$2:$A$22,0)),INDEX(Table3[Category],MATCH(TRUE,ISNUMBER(SEARCH(Table3[Unique ID Contains],B343)),0)))</f>
        <v>Lease Payments</v>
      </c>
      <c r="D343" s="7" t="str">
        <f>INDEX('Forecast 1'!$B$9:$B$56,MATCH('Bank Statement Export'!C343,'Forecast 1'!$B$9:$B$56,0))</f>
        <v>Lease Payments</v>
      </c>
      <c r="E343" s="14">
        <v>342</v>
      </c>
      <c r="F343" s="10">
        <v>45258</v>
      </c>
      <c r="G343" s="9" t="s">
        <v>14</v>
      </c>
      <c r="H343" s="9" t="s">
        <v>23</v>
      </c>
      <c r="I343" s="11">
        <v>-1350</v>
      </c>
      <c r="J343" s="11">
        <v>353280</v>
      </c>
    </row>
    <row r="344" spans="1:10" x14ac:dyDescent="0.2">
      <c r="A344" s="8">
        <f t="shared" si="10"/>
        <v>45262</v>
      </c>
      <c r="B344" s="7" t="str">
        <f t="shared" si="11"/>
        <v>343 ELECTRONIC WITHDRAWAL DISCOVER</v>
      </c>
      <c r="C344" s="7" t="str">
        <f t="array" ref="C344">IFERROR(INDEX(Mapping!$B$2:$B$22,MATCH('Bank Statement Export'!B344,Mapping!$A$2:$A$22,0)),INDEX(Table3[Category],MATCH(TRUE,ISNUMBER(SEARCH(Table3[Unique ID Contains],B344)),0)))</f>
        <v>Credit Cards</v>
      </c>
      <c r="D344" s="7" t="str">
        <f>INDEX('Forecast 1'!$B$9:$B$56,MATCH('Bank Statement Export'!C344,'Forecast 1'!$B$9:$B$56,0))</f>
        <v>Credit Cards</v>
      </c>
      <c r="E344" s="14">
        <v>343</v>
      </c>
      <c r="F344" s="10">
        <v>45258</v>
      </c>
      <c r="G344" s="9" t="s">
        <v>14</v>
      </c>
      <c r="H344" s="9" t="s">
        <v>34</v>
      </c>
      <c r="I344" s="11">
        <v>-10000</v>
      </c>
      <c r="J344" s="11">
        <v>343280</v>
      </c>
    </row>
    <row r="345" spans="1:10" x14ac:dyDescent="0.2">
      <c r="A345" s="8">
        <f t="shared" si="10"/>
        <v>45262</v>
      </c>
      <c r="B345" s="7" t="str">
        <f t="shared" si="11"/>
        <v>344 CHECK</v>
      </c>
      <c r="C345" s="7" t="str">
        <f t="array" ref="C345">IFERROR(INDEX(Mapping!$B$2:$B$22,MATCH('Bank Statement Export'!B345,Mapping!$A$2:$A$22,0)),INDEX(Table3[Category],MATCH(TRUE,ISNUMBER(SEARCH(Table3[Unique ID Contains],B345)),0)))</f>
        <v>Payroll</v>
      </c>
      <c r="D345" s="7" t="str">
        <f>INDEX('Forecast 1'!$B$9:$B$56,MATCH('Bank Statement Export'!C345,'Forecast 1'!$B$9:$B$56,0))</f>
        <v>Payroll</v>
      </c>
      <c r="E345" s="14">
        <v>344</v>
      </c>
      <c r="F345" s="10">
        <v>45258</v>
      </c>
      <c r="G345" s="9">
        <v>79804</v>
      </c>
      <c r="H345" s="9" t="s">
        <v>16</v>
      </c>
      <c r="I345" s="11">
        <v>-120</v>
      </c>
      <c r="J345" s="11">
        <v>343160</v>
      </c>
    </row>
    <row r="346" spans="1:10" x14ac:dyDescent="0.2">
      <c r="A346" s="8">
        <f t="shared" si="10"/>
        <v>45262</v>
      </c>
      <c r="B346" s="7" t="str">
        <f t="shared" si="11"/>
        <v>345 CHECK</v>
      </c>
      <c r="C346" s="7" t="str">
        <f t="array" ref="C346">IFERROR(INDEX(Mapping!$B$2:$B$22,MATCH('Bank Statement Export'!B346,Mapping!$A$2:$A$22,0)),INDEX(Table3[Category],MATCH(TRUE,ISNUMBER(SEARCH(Table3[Unique ID Contains],B346)),0)))</f>
        <v>Accounts Payable</v>
      </c>
      <c r="D346" s="7" t="str">
        <f>INDEX('Forecast 1'!$B$9:$B$56,MATCH('Bank Statement Export'!C346,'Forecast 1'!$B$9:$B$56,0))</f>
        <v>Accounts Payable</v>
      </c>
      <c r="E346" s="14">
        <v>345</v>
      </c>
      <c r="F346" s="10">
        <v>45258</v>
      </c>
      <c r="G346" s="9">
        <v>80005</v>
      </c>
      <c r="H346" s="9" t="s">
        <v>16</v>
      </c>
      <c r="I346" s="11">
        <v>-88580</v>
      </c>
      <c r="J346" s="11">
        <v>254580</v>
      </c>
    </row>
    <row r="347" spans="1:10" x14ac:dyDescent="0.2">
      <c r="A347" s="8">
        <f t="shared" si="10"/>
        <v>45262</v>
      </c>
      <c r="B347" s="7" t="str">
        <f t="shared" si="11"/>
        <v>346 ELECTRONIC DEPOSIT ZONIX</v>
      </c>
      <c r="C347" s="7" t="str">
        <f t="array" ref="C347">IFERROR(INDEX(Mapping!$B$2:$B$22,MATCH('Bank Statement Export'!B347,Mapping!$A$2:$A$22,0)),INDEX(Table3[Category],MATCH(TRUE,ISNUMBER(SEARCH(Table3[Unique ID Contains],B347)),0)))</f>
        <v xml:space="preserve">  Invoice Revenue Receipts</v>
      </c>
      <c r="D347" s="7" t="str">
        <f>INDEX('Forecast 1'!$B$9:$B$56,MATCH('Bank Statement Export'!C347,'Forecast 1'!$B$9:$B$56,0))</f>
        <v xml:space="preserve">  Invoice Revenue Receipts</v>
      </c>
      <c r="E347" s="14">
        <v>346</v>
      </c>
      <c r="F347" s="10">
        <v>45259</v>
      </c>
      <c r="G347" s="9" t="s">
        <v>17</v>
      </c>
      <c r="H347" s="9" t="s">
        <v>26</v>
      </c>
      <c r="I347" s="11">
        <v>32190</v>
      </c>
      <c r="J347" s="11">
        <v>286770</v>
      </c>
    </row>
    <row r="348" spans="1:10" x14ac:dyDescent="0.2">
      <c r="A348" s="8">
        <f t="shared" si="10"/>
        <v>45262</v>
      </c>
      <c r="B348" s="7" t="str">
        <f t="shared" si="11"/>
        <v>347 ELECTRONIC WITHDRAWAL HYPERTECH</v>
      </c>
      <c r="C348" s="7" t="str">
        <f t="array" ref="C348">IFERROR(INDEX(Mapping!$B$2:$B$22,MATCH('Bank Statement Export'!B348,Mapping!$A$2:$A$22,0)),INDEX(Table3[Category],MATCH(TRUE,ISNUMBER(SEARCH(Table3[Unique ID Contains],B348)),0)))</f>
        <v>Marketing</v>
      </c>
      <c r="D348" s="7" t="str">
        <f>INDEX('Forecast 1'!$B$9:$B$56,MATCH('Bank Statement Export'!C348,'Forecast 1'!$B$9:$B$56,0))</f>
        <v>Marketing</v>
      </c>
      <c r="E348" s="14">
        <v>347</v>
      </c>
      <c r="F348" s="10">
        <v>45259</v>
      </c>
      <c r="G348" s="9" t="s">
        <v>14</v>
      </c>
      <c r="H348" s="9" t="s">
        <v>25</v>
      </c>
      <c r="I348" s="11">
        <v>-1510</v>
      </c>
      <c r="J348" s="11">
        <v>285260</v>
      </c>
    </row>
    <row r="349" spans="1:10" x14ac:dyDescent="0.2">
      <c r="A349" s="8">
        <f t="shared" si="10"/>
        <v>45262</v>
      </c>
      <c r="B349" s="7" t="str">
        <f t="shared" si="11"/>
        <v>348 ELECTRONIC WITHDRAWAL IRS</v>
      </c>
      <c r="C349" s="7" t="str">
        <f t="array" ref="C349">IFERROR(INDEX(Mapping!$B$2:$B$22,MATCH('Bank Statement Export'!B349,Mapping!$A$2:$A$22,0)),INDEX(Table3[Category],MATCH(TRUE,ISNUMBER(SEARCH(Table3[Unique ID Contains],B349)),0)))</f>
        <v>Tax Distributions</v>
      </c>
      <c r="D349" s="7" t="str">
        <f>INDEX('Forecast 1'!$B$9:$B$56,MATCH('Bank Statement Export'!C349,'Forecast 1'!$B$9:$B$56,0))</f>
        <v>Tax Distributions</v>
      </c>
      <c r="E349" s="14">
        <v>348</v>
      </c>
      <c r="F349" s="10">
        <v>45259</v>
      </c>
      <c r="G349" s="9" t="s">
        <v>14</v>
      </c>
      <c r="H349" s="9" t="s">
        <v>21</v>
      </c>
      <c r="I349" s="11">
        <v>-10270</v>
      </c>
      <c r="J349" s="11">
        <v>274990</v>
      </c>
    </row>
    <row r="350" spans="1:10" x14ac:dyDescent="0.2">
      <c r="A350" s="8">
        <f t="shared" si="10"/>
        <v>45262</v>
      </c>
      <c r="B350" s="7" t="str">
        <f t="shared" si="11"/>
        <v>349 ELECTRONIC WITHDRAWAL STATE DEPT REVENUE</v>
      </c>
      <c r="C350" s="7" t="str">
        <f t="array" ref="C350">IFERROR(INDEX(Mapping!$B$2:$B$22,MATCH('Bank Statement Export'!B350,Mapping!$A$2:$A$22,0)),INDEX(Table3[Category],MATCH(TRUE,ISNUMBER(SEARCH(Table3[Unique ID Contains],B350)),0)))</f>
        <v>Tax Distributions</v>
      </c>
      <c r="D350" s="7" t="str">
        <f>INDEX('Forecast 1'!$B$9:$B$56,MATCH('Bank Statement Export'!C350,'Forecast 1'!$B$9:$B$56,0))</f>
        <v>Tax Distributions</v>
      </c>
      <c r="E350" s="14">
        <v>349</v>
      </c>
      <c r="F350" s="10">
        <v>45260</v>
      </c>
      <c r="G350" s="9" t="s">
        <v>14</v>
      </c>
      <c r="H350" s="9" t="s">
        <v>20</v>
      </c>
      <c r="I350" s="11">
        <v>-2070</v>
      </c>
      <c r="J350" s="11">
        <v>272920</v>
      </c>
    </row>
    <row r="351" spans="1:10" x14ac:dyDescent="0.2">
      <c r="A351" s="8">
        <f t="shared" si="10"/>
        <v>45262</v>
      </c>
      <c r="B351" s="7" t="str">
        <f t="shared" si="11"/>
        <v>350 ELECTRONIC WITHDRAWAL PAYROLL</v>
      </c>
      <c r="C351" s="7" t="str">
        <f t="array" ref="C351">IFERROR(INDEX(Mapping!$B$2:$B$22,MATCH('Bank Statement Export'!B351,Mapping!$A$2:$A$22,0)),INDEX(Table3[Category],MATCH(TRUE,ISNUMBER(SEARCH(Table3[Unique ID Contains],B351)),0)))</f>
        <v>Payroll</v>
      </c>
      <c r="D351" s="7" t="str">
        <f>INDEX('Forecast 1'!$B$9:$B$56,MATCH('Bank Statement Export'!C351,'Forecast 1'!$B$9:$B$56,0))</f>
        <v>Payroll</v>
      </c>
      <c r="E351" s="14">
        <v>350</v>
      </c>
      <c r="F351" s="10">
        <v>45260</v>
      </c>
      <c r="G351" s="9" t="s">
        <v>14</v>
      </c>
      <c r="H351" s="9" t="s">
        <v>22</v>
      </c>
      <c r="I351" s="11">
        <v>-5570</v>
      </c>
      <c r="J351" s="11">
        <v>267350</v>
      </c>
    </row>
    <row r="352" spans="1:10" x14ac:dyDescent="0.2">
      <c r="A352" s="8">
        <f t="shared" si="10"/>
        <v>45262</v>
      </c>
      <c r="B352" s="7" t="str">
        <f t="shared" si="11"/>
        <v>351 WEB AUTHORIZED PMT LUCENTIX</v>
      </c>
      <c r="C352" s="7" t="str">
        <f t="array" ref="C352">IFERROR(INDEX(Mapping!$B$2:$B$22,MATCH('Bank Statement Export'!B352,Mapping!$A$2:$A$22,0)),INDEX(Table3[Category],MATCH(TRUE,ISNUMBER(SEARCH(Table3[Unique ID Contains],B352)),0)))</f>
        <v>Vehicles</v>
      </c>
      <c r="D352" s="7" t="str">
        <f>INDEX('Forecast 1'!$B$9:$B$56,MATCH('Bank Statement Export'!C352,'Forecast 1'!$B$9:$B$56,0))</f>
        <v>Vehicles</v>
      </c>
      <c r="E352" s="14">
        <v>351</v>
      </c>
      <c r="F352" s="10">
        <v>45260</v>
      </c>
      <c r="G352" s="9" t="s">
        <v>14</v>
      </c>
      <c r="H352" s="9" t="s">
        <v>27</v>
      </c>
      <c r="I352" s="11">
        <v>-5840</v>
      </c>
      <c r="J352" s="11">
        <v>261510</v>
      </c>
    </row>
    <row r="353" spans="1:10" x14ac:dyDescent="0.2">
      <c r="A353" s="8">
        <f t="shared" si="10"/>
        <v>45262</v>
      </c>
      <c r="B353" s="7" t="str">
        <f t="shared" si="11"/>
        <v>352 CHECK</v>
      </c>
      <c r="C353" s="7" t="str">
        <f t="array" ref="C353">IFERROR(INDEX(Mapping!$B$2:$B$22,MATCH('Bank Statement Export'!B353,Mapping!$A$2:$A$22,0)),INDEX(Table3[Category],MATCH(TRUE,ISNUMBER(SEARCH(Table3[Unique ID Contains],B353)),0)))</f>
        <v>Payroll</v>
      </c>
      <c r="D353" s="7" t="str">
        <f>INDEX('Forecast 1'!$B$9:$B$56,MATCH('Bank Statement Export'!C353,'Forecast 1'!$B$9:$B$56,0))</f>
        <v>Payroll</v>
      </c>
      <c r="E353" s="14">
        <v>352</v>
      </c>
      <c r="F353" s="10">
        <v>45260</v>
      </c>
      <c r="G353" s="9">
        <v>80001</v>
      </c>
      <c r="H353" s="9" t="s">
        <v>16</v>
      </c>
      <c r="I353" s="11">
        <v>-100</v>
      </c>
      <c r="J353" s="11">
        <v>261410</v>
      </c>
    </row>
    <row r="354" spans="1:10" x14ac:dyDescent="0.2">
      <c r="A354" s="8">
        <f t="shared" si="10"/>
        <v>45262</v>
      </c>
      <c r="B354" s="7" t="str">
        <f t="shared" si="11"/>
        <v>353 CHECK</v>
      </c>
      <c r="C354" s="7" t="str">
        <f t="array" ref="C354">IFERROR(INDEX(Mapping!$B$2:$B$22,MATCH('Bank Statement Export'!B354,Mapping!$A$2:$A$22,0)),INDEX(Table3[Category],MATCH(TRUE,ISNUMBER(SEARCH(Table3[Unique ID Contains],B354)),0)))</f>
        <v>Payroll</v>
      </c>
      <c r="D354" s="7" t="str">
        <f>INDEX('Forecast 1'!$B$9:$B$56,MATCH('Bank Statement Export'!C354,'Forecast 1'!$B$9:$B$56,0))</f>
        <v>Payroll</v>
      </c>
      <c r="E354" s="14">
        <v>353</v>
      </c>
      <c r="F354" s="10">
        <v>45260</v>
      </c>
      <c r="G354" s="9">
        <v>80007</v>
      </c>
      <c r="H354" s="9" t="s">
        <v>16</v>
      </c>
      <c r="I354" s="11">
        <v>-520</v>
      </c>
      <c r="J354" s="11">
        <v>260890</v>
      </c>
    </row>
    <row r="355" spans="1:10" x14ac:dyDescent="0.2">
      <c r="A355" s="8">
        <f t="shared" si="10"/>
        <v>45262</v>
      </c>
      <c r="B355" s="7" t="str">
        <f t="shared" si="11"/>
        <v>354 ELECTRONIC WITHDRAWAL DISCOVER</v>
      </c>
      <c r="C355" s="7" t="str">
        <f t="array" ref="C355">IFERROR(INDEX(Mapping!$B$2:$B$22,MATCH('Bank Statement Export'!B355,Mapping!$A$2:$A$22,0)),INDEX(Table3[Category],MATCH(TRUE,ISNUMBER(SEARCH(Table3[Unique ID Contains],B355)),0)))</f>
        <v>Credit Cards</v>
      </c>
      <c r="D355" s="7" t="str">
        <f>INDEX('Forecast 1'!$B$9:$B$56,MATCH('Bank Statement Export'!C355,'Forecast 1'!$B$9:$B$56,0))</f>
        <v>Credit Cards</v>
      </c>
      <c r="E355" s="14">
        <v>354</v>
      </c>
      <c r="F355" s="10">
        <v>45261</v>
      </c>
      <c r="G355" s="9" t="s">
        <v>14</v>
      </c>
      <c r="H355" s="9" t="s">
        <v>34</v>
      </c>
      <c r="I355" s="11">
        <v>-22000</v>
      </c>
      <c r="J355" s="11">
        <v>238890</v>
      </c>
    </row>
    <row r="356" spans="1:10" x14ac:dyDescent="0.2">
      <c r="A356" s="8">
        <f t="shared" si="10"/>
        <v>45262</v>
      </c>
      <c r="B356" s="7" t="str">
        <f t="shared" si="11"/>
        <v>355 CHECK</v>
      </c>
      <c r="C356" s="7" t="str">
        <f t="array" ref="C356">IFERROR(INDEX(Mapping!$B$2:$B$22,MATCH('Bank Statement Export'!B356,Mapping!$A$2:$A$22,0)),INDEX(Table3[Category],MATCH(TRUE,ISNUMBER(SEARCH(Table3[Unique ID Contains],B356)),0)))</f>
        <v>Payroll</v>
      </c>
      <c r="D356" s="7" t="str">
        <f>INDEX('Forecast 1'!$B$9:$B$56,MATCH('Bank Statement Export'!C356,'Forecast 1'!$B$9:$B$56,0))</f>
        <v>Payroll</v>
      </c>
      <c r="E356" s="14">
        <v>355</v>
      </c>
      <c r="F356" s="10">
        <v>45261</v>
      </c>
      <c r="G356" s="9">
        <v>79988</v>
      </c>
      <c r="H356" s="9" t="s">
        <v>16</v>
      </c>
      <c r="I356" s="11">
        <v>-1100</v>
      </c>
      <c r="J356" s="11">
        <v>237790</v>
      </c>
    </row>
    <row r="357" spans="1:10" x14ac:dyDescent="0.2">
      <c r="A357" s="8">
        <f t="shared" si="10"/>
        <v>45262</v>
      </c>
      <c r="B357" s="7" t="str">
        <f t="shared" si="11"/>
        <v>356 CHECK</v>
      </c>
      <c r="C357" s="7" t="str">
        <f t="array" ref="C357">IFERROR(INDEX(Mapping!$B$2:$B$22,MATCH('Bank Statement Export'!B357,Mapping!$A$2:$A$22,0)),INDEX(Table3[Category],MATCH(TRUE,ISNUMBER(SEARCH(Table3[Unique ID Contains],B357)),0)))</f>
        <v>Payroll</v>
      </c>
      <c r="D357" s="7" t="str">
        <f>INDEX('Forecast 1'!$B$9:$B$56,MATCH('Bank Statement Export'!C357,'Forecast 1'!$B$9:$B$56,0))</f>
        <v>Payroll</v>
      </c>
      <c r="E357" s="14">
        <v>356</v>
      </c>
      <c r="F357" s="10">
        <v>45261</v>
      </c>
      <c r="G357" s="9">
        <v>79989</v>
      </c>
      <c r="H357" s="9" t="s">
        <v>16</v>
      </c>
      <c r="I357" s="11">
        <v>-970</v>
      </c>
      <c r="J357" s="11">
        <v>236820</v>
      </c>
    </row>
    <row r="358" spans="1:10" x14ac:dyDescent="0.2">
      <c r="A358" s="8">
        <f t="shared" si="10"/>
        <v>45262</v>
      </c>
      <c r="B358" s="7" t="str">
        <f t="shared" si="11"/>
        <v>357 CHECK</v>
      </c>
      <c r="C358" s="7" t="str">
        <f t="array" ref="C358">IFERROR(INDEX(Mapping!$B$2:$B$22,MATCH('Bank Statement Export'!B358,Mapping!$A$2:$A$22,0)),INDEX(Table3[Category],MATCH(TRUE,ISNUMBER(SEARCH(Table3[Unique ID Contains],B358)),0)))</f>
        <v>Payroll</v>
      </c>
      <c r="D358" s="7" t="str">
        <f>INDEX('Forecast 1'!$B$9:$B$56,MATCH('Bank Statement Export'!C358,'Forecast 1'!$B$9:$B$56,0))</f>
        <v>Payroll</v>
      </c>
      <c r="E358" s="14">
        <v>357</v>
      </c>
      <c r="F358" s="10">
        <v>45261</v>
      </c>
      <c r="G358" s="9">
        <v>80008</v>
      </c>
      <c r="H358" s="9" t="s">
        <v>16</v>
      </c>
      <c r="I358" s="11">
        <v>-730</v>
      </c>
      <c r="J358" s="11">
        <v>236090</v>
      </c>
    </row>
    <row r="359" spans="1:10" x14ac:dyDescent="0.2">
      <c r="A359" s="8">
        <f t="shared" si="10"/>
        <v>45262</v>
      </c>
      <c r="B359" s="7" t="str">
        <f t="shared" si="11"/>
        <v>358 CHECK</v>
      </c>
      <c r="C359" s="7" t="str">
        <f t="array" ref="C359">IFERROR(INDEX(Mapping!$B$2:$B$22,MATCH('Bank Statement Export'!B359,Mapping!$A$2:$A$22,0)),INDEX(Table3[Category],MATCH(TRUE,ISNUMBER(SEARCH(Table3[Unique ID Contains],B359)),0)))</f>
        <v>Payroll</v>
      </c>
      <c r="D359" s="7" t="str">
        <f>INDEX('Forecast 1'!$B$9:$B$56,MATCH('Bank Statement Export'!C359,'Forecast 1'!$B$9:$B$56,0))</f>
        <v>Payroll</v>
      </c>
      <c r="E359" s="14">
        <v>358</v>
      </c>
      <c r="F359" s="10">
        <v>45261</v>
      </c>
      <c r="G359" s="9">
        <v>80009</v>
      </c>
      <c r="H359" s="9" t="s">
        <v>16</v>
      </c>
      <c r="I359" s="11">
        <v>-780</v>
      </c>
      <c r="J359" s="11">
        <v>235310</v>
      </c>
    </row>
    <row r="360" spans="1:10" x14ac:dyDescent="0.2">
      <c r="A360" s="8">
        <f t="shared" si="10"/>
        <v>45262</v>
      </c>
      <c r="B360" s="7" t="str">
        <f t="shared" si="11"/>
        <v>359 CHECK</v>
      </c>
      <c r="C360" s="7" t="str">
        <f t="array" ref="C360">IFERROR(INDEX(Mapping!$B$2:$B$22,MATCH('Bank Statement Export'!B360,Mapping!$A$2:$A$22,0)),INDEX(Table3[Category],MATCH(TRUE,ISNUMBER(SEARCH(Table3[Unique ID Contains],B360)),0)))</f>
        <v>Payroll</v>
      </c>
      <c r="D360" s="7" t="str">
        <f>INDEX('Forecast 1'!$B$9:$B$56,MATCH('Bank Statement Export'!C360,'Forecast 1'!$B$9:$B$56,0))</f>
        <v>Payroll</v>
      </c>
      <c r="E360" s="14">
        <v>359</v>
      </c>
      <c r="F360" s="10">
        <v>45261</v>
      </c>
      <c r="G360" s="9">
        <v>80010</v>
      </c>
      <c r="H360" s="9" t="s">
        <v>16</v>
      </c>
      <c r="I360" s="11">
        <v>-1880</v>
      </c>
      <c r="J360" s="11">
        <v>233430</v>
      </c>
    </row>
    <row r="361" spans="1:10" x14ac:dyDescent="0.2">
      <c r="A361" s="8">
        <f t="shared" si="10"/>
        <v>45262</v>
      </c>
      <c r="B361" s="7" t="str">
        <f t="shared" si="11"/>
        <v>360 CHECK</v>
      </c>
      <c r="C361" s="7" t="str">
        <f t="array" ref="C361">IFERROR(INDEX(Mapping!$B$2:$B$22,MATCH('Bank Statement Export'!B361,Mapping!$A$2:$A$22,0)),INDEX(Table3[Category],MATCH(TRUE,ISNUMBER(SEARCH(Table3[Unique ID Contains],B361)),0)))</f>
        <v>Payroll</v>
      </c>
      <c r="D361" s="7" t="str">
        <f>INDEX('Forecast 1'!$B$9:$B$56,MATCH('Bank Statement Export'!C361,'Forecast 1'!$B$9:$B$56,0))</f>
        <v>Payroll</v>
      </c>
      <c r="E361" s="14">
        <v>360</v>
      </c>
      <c r="F361" s="10">
        <v>45261</v>
      </c>
      <c r="G361" s="9">
        <v>80012</v>
      </c>
      <c r="H361" s="9" t="s">
        <v>16</v>
      </c>
      <c r="I361" s="11">
        <v>-690</v>
      </c>
      <c r="J361" s="11">
        <v>232740</v>
      </c>
    </row>
    <row r="362" spans="1:10" x14ac:dyDescent="0.2">
      <c r="A362" s="8">
        <f t="shared" si="10"/>
        <v>45262</v>
      </c>
      <c r="B362" s="7" t="str">
        <f t="shared" si="11"/>
        <v>361 CHECK</v>
      </c>
      <c r="C362" s="7" t="str">
        <f t="array" ref="C362">IFERROR(INDEX(Mapping!$B$2:$B$22,MATCH('Bank Statement Export'!B362,Mapping!$A$2:$A$22,0)),INDEX(Table3[Category],MATCH(TRUE,ISNUMBER(SEARCH(Table3[Unique ID Contains],B362)),0)))</f>
        <v>Payroll</v>
      </c>
      <c r="D362" s="7" t="str">
        <f>INDEX('Forecast 1'!$B$9:$B$56,MATCH('Bank Statement Export'!C362,'Forecast 1'!$B$9:$B$56,0))</f>
        <v>Payroll</v>
      </c>
      <c r="E362" s="14">
        <v>361</v>
      </c>
      <c r="F362" s="10">
        <v>45261</v>
      </c>
      <c r="G362" s="9">
        <v>80014</v>
      </c>
      <c r="H362" s="9" t="s">
        <v>16</v>
      </c>
      <c r="I362" s="11">
        <v>-1000</v>
      </c>
      <c r="J362" s="11">
        <v>231740</v>
      </c>
    </row>
    <row r="363" spans="1:10" x14ac:dyDescent="0.2">
      <c r="A363" s="8">
        <f t="shared" si="10"/>
        <v>45262</v>
      </c>
      <c r="B363" s="7" t="str">
        <f t="shared" si="11"/>
        <v>362 CHECK</v>
      </c>
      <c r="C363" s="7" t="str">
        <f t="array" ref="C363">IFERROR(INDEX(Mapping!$B$2:$B$22,MATCH('Bank Statement Export'!B363,Mapping!$A$2:$A$22,0)),INDEX(Table3[Category],MATCH(TRUE,ISNUMBER(SEARCH(Table3[Unique ID Contains],B363)),0)))</f>
        <v>Payroll</v>
      </c>
      <c r="D363" s="7" t="str">
        <f>INDEX('Forecast 1'!$B$9:$B$56,MATCH('Bank Statement Export'!C363,'Forecast 1'!$B$9:$B$56,0))</f>
        <v>Payroll</v>
      </c>
      <c r="E363" s="14">
        <v>362</v>
      </c>
      <c r="F363" s="10">
        <v>45261</v>
      </c>
      <c r="G363" s="9">
        <v>80015</v>
      </c>
      <c r="H363" s="9" t="s">
        <v>16</v>
      </c>
      <c r="I363" s="11">
        <v>-770</v>
      </c>
      <c r="J363" s="11">
        <v>230970</v>
      </c>
    </row>
    <row r="364" spans="1:10" x14ac:dyDescent="0.2">
      <c r="A364" s="8">
        <f t="shared" si="10"/>
        <v>45262</v>
      </c>
      <c r="B364" s="7" t="str">
        <f t="shared" si="11"/>
        <v>363 CHECK</v>
      </c>
      <c r="C364" s="7" t="str">
        <f t="array" ref="C364">IFERROR(INDEX(Mapping!$B$2:$B$22,MATCH('Bank Statement Export'!B364,Mapping!$A$2:$A$22,0)),INDEX(Table3[Category],MATCH(TRUE,ISNUMBER(SEARCH(Table3[Unique ID Contains],B364)),0)))</f>
        <v>Payroll</v>
      </c>
      <c r="D364" s="7" t="str">
        <f>INDEX('Forecast 1'!$B$9:$B$56,MATCH('Bank Statement Export'!C364,'Forecast 1'!$B$9:$B$56,0))</f>
        <v>Payroll</v>
      </c>
      <c r="E364" s="14">
        <v>363</v>
      </c>
      <c r="F364" s="10">
        <v>45261</v>
      </c>
      <c r="G364" s="9">
        <v>80018</v>
      </c>
      <c r="H364" s="9" t="s">
        <v>16</v>
      </c>
      <c r="I364" s="11">
        <v>-880</v>
      </c>
      <c r="J364" s="11">
        <v>230090</v>
      </c>
    </row>
    <row r="365" spans="1:10" x14ac:dyDescent="0.2">
      <c r="A365" s="8">
        <f t="shared" si="10"/>
        <v>45262</v>
      </c>
      <c r="B365" s="7" t="str">
        <f t="shared" si="11"/>
        <v>364 CHECK</v>
      </c>
      <c r="C365" s="7" t="str">
        <f t="array" ref="C365">IFERROR(INDEX(Mapping!$B$2:$B$22,MATCH('Bank Statement Export'!B365,Mapping!$A$2:$A$22,0)),INDEX(Table3[Category],MATCH(TRUE,ISNUMBER(SEARCH(Table3[Unique ID Contains],B365)),0)))</f>
        <v>Payroll</v>
      </c>
      <c r="D365" s="7" t="str">
        <f>INDEX('Forecast 1'!$B$9:$B$56,MATCH('Bank Statement Export'!C365,'Forecast 1'!$B$9:$B$56,0))</f>
        <v>Payroll</v>
      </c>
      <c r="E365" s="14">
        <v>364</v>
      </c>
      <c r="F365" s="10">
        <v>45261</v>
      </c>
      <c r="G365" s="9">
        <v>80019</v>
      </c>
      <c r="H365" s="9" t="s">
        <v>16</v>
      </c>
      <c r="I365" s="11">
        <v>-660</v>
      </c>
      <c r="J365" s="11">
        <v>229430</v>
      </c>
    </row>
    <row r="366" spans="1:10" x14ac:dyDescent="0.2">
      <c r="A366" s="8">
        <f t="shared" si="10"/>
        <v>45262</v>
      </c>
      <c r="B366" s="7" t="str">
        <f t="shared" si="11"/>
        <v>365 CHECK</v>
      </c>
      <c r="C366" s="7" t="str">
        <f t="array" ref="C366">IFERROR(INDEX(Mapping!$B$2:$B$22,MATCH('Bank Statement Export'!B366,Mapping!$A$2:$A$22,0)),INDEX(Table3[Category],MATCH(TRUE,ISNUMBER(SEARCH(Table3[Unique ID Contains],B366)),0)))</f>
        <v>Payroll</v>
      </c>
      <c r="D366" s="7" t="str">
        <f>INDEX('Forecast 1'!$B$9:$B$56,MATCH('Bank Statement Export'!C366,'Forecast 1'!$B$9:$B$56,0))</f>
        <v>Payroll</v>
      </c>
      <c r="E366" s="14">
        <v>365</v>
      </c>
      <c r="F366" s="10">
        <v>45261</v>
      </c>
      <c r="G366" s="9">
        <v>80020</v>
      </c>
      <c r="H366" s="9" t="s">
        <v>16</v>
      </c>
      <c r="I366" s="11">
        <v>-880</v>
      </c>
      <c r="J366" s="11">
        <v>228550</v>
      </c>
    </row>
    <row r="367" spans="1:10" x14ac:dyDescent="0.2">
      <c r="A367" s="8">
        <f t="shared" si="10"/>
        <v>45262</v>
      </c>
      <c r="B367" s="7" t="str">
        <f t="shared" si="11"/>
        <v>366 CHECK</v>
      </c>
      <c r="C367" s="7" t="str">
        <f t="array" ref="C367">IFERROR(INDEX(Mapping!$B$2:$B$22,MATCH('Bank Statement Export'!B367,Mapping!$A$2:$A$22,0)),INDEX(Table3[Category],MATCH(TRUE,ISNUMBER(SEARCH(Table3[Unique ID Contains],B367)),0)))</f>
        <v>Payroll</v>
      </c>
      <c r="D367" s="7" t="str">
        <f>INDEX('Forecast 1'!$B$9:$B$56,MATCH('Bank Statement Export'!C367,'Forecast 1'!$B$9:$B$56,0))</f>
        <v>Payroll</v>
      </c>
      <c r="E367" s="14">
        <v>366</v>
      </c>
      <c r="F367" s="10">
        <v>45261</v>
      </c>
      <c r="G367" s="9">
        <v>80021</v>
      </c>
      <c r="H367" s="9" t="s">
        <v>16</v>
      </c>
      <c r="I367" s="11">
        <v>-1120</v>
      </c>
      <c r="J367" s="11">
        <v>227430</v>
      </c>
    </row>
    <row r="368" spans="1:10" x14ac:dyDescent="0.2">
      <c r="A368" s="8">
        <f t="shared" si="10"/>
        <v>45262</v>
      </c>
      <c r="B368" s="7" t="str">
        <f t="shared" si="11"/>
        <v>367 CHECK</v>
      </c>
      <c r="C368" s="7" t="str">
        <f t="array" ref="C368">IFERROR(INDEX(Mapping!$B$2:$B$22,MATCH('Bank Statement Export'!B368,Mapping!$A$2:$A$22,0)),INDEX(Table3[Category],MATCH(TRUE,ISNUMBER(SEARCH(Table3[Unique ID Contains],B368)),0)))</f>
        <v>Payroll</v>
      </c>
      <c r="D368" s="7" t="str">
        <f>INDEX('Forecast 1'!$B$9:$B$56,MATCH('Bank Statement Export'!C368,'Forecast 1'!$B$9:$B$56,0))</f>
        <v>Payroll</v>
      </c>
      <c r="E368" s="14">
        <v>367</v>
      </c>
      <c r="F368" s="10">
        <v>45261</v>
      </c>
      <c r="G368" s="9">
        <v>80023</v>
      </c>
      <c r="H368" s="9" t="s">
        <v>16</v>
      </c>
      <c r="I368" s="11">
        <v>-1090</v>
      </c>
      <c r="J368" s="11">
        <v>226340</v>
      </c>
    </row>
    <row r="369" spans="1:10" x14ac:dyDescent="0.2">
      <c r="A369" s="8">
        <f t="shared" si="10"/>
        <v>45262</v>
      </c>
      <c r="B369" s="7" t="str">
        <f t="shared" si="11"/>
        <v>368 CHECK</v>
      </c>
      <c r="C369" s="7" t="str">
        <f t="array" ref="C369">IFERROR(INDEX(Mapping!$B$2:$B$22,MATCH('Bank Statement Export'!B369,Mapping!$A$2:$A$22,0)),INDEX(Table3[Category],MATCH(TRUE,ISNUMBER(SEARCH(Table3[Unique ID Contains],B369)),0)))</f>
        <v>Payroll</v>
      </c>
      <c r="D369" s="7" t="str">
        <f>INDEX('Forecast 1'!$B$9:$B$56,MATCH('Bank Statement Export'!C369,'Forecast 1'!$B$9:$B$56,0))</f>
        <v>Payroll</v>
      </c>
      <c r="E369" s="14">
        <v>368</v>
      </c>
      <c r="F369" s="10">
        <v>45261</v>
      </c>
      <c r="G369" s="9">
        <v>80024</v>
      </c>
      <c r="H369" s="9" t="s">
        <v>16</v>
      </c>
      <c r="I369" s="11">
        <v>-1000</v>
      </c>
      <c r="J369" s="11">
        <v>225340</v>
      </c>
    </row>
    <row r="370" spans="1:10" x14ac:dyDescent="0.2">
      <c r="A370" s="8">
        <f t="shared" si="10"/>
        <v>45262</v>
      </c>
      <c r="B370" s="7" t="str">
        <f t="shared" si="11"/>
        <v>369 CHECK</v>
      </c>
      <c r="C370" s="7" t="str">
        <f t="array" ref="C370">IFERROR(INDEX(Mapping!$B$2:$B$22,MATCH('Bank Statement Export'!B370,Mapping!$A$2:$A$22,0)),INDEX(Table3[Category],MATCH(TRUE,ISNUMBER(SEARCH(Table3[Unique ID Contains],B370)),0)))</f>
        <v>Payroll</v>
      </c>
      <c r="D370" s="7" t="str">
        <f>INDEX('Forecast 1'!$B$9:$B$56,MATCH('Bank Statement Export'!C370,'Forecast 1'!$B$9:$B$56,0))</f>
        <v>Payroll</v>
      </c>
      <c r="E370" s="14">
        <v>369</v>
      </c>
      <c r="F370" s="10">
        <v>45261</v>
      </c>
      <c r="G370" s="9">
        <v>80025</v>
      </c>
      <c r="H370" s="9" t="s">
        <v>16</v>
      </c>
      <c r="I370" s="11">
        <v>-160</v>
      </c>
      <c r="J370" s="11">
        <v>225180</v>
      </c>
    </row>
    <row r="371" spans="1:10" x14ac:dyDescent="0.2">
      <c r="A371" s="8">
        <f t="shared" si="10"/>
        <v>45262</v>
      </c>
      <c r="B371" s="7" t="str">
        <f t="shared" si="11"/>
        <v>370 CHECK</v>
      </c>
      <c r="C371" s="7" t="str">
        <f t="array" ref="C371">IFERROR(INDEX(Mapping!$B$2:$B$22,MATCH('Bank Statement Export'!B371,Mapping!$A$2:$A$22,0)),INDEX(Table3[Category],MATCH(TRUE,ISNUMBER(SEARCH(Table3[Unique ID Contains],B371)),0)))</f>
        <v>Payroll</v>
      </c>
      <c r="D371" s="7" t="str">
        <f>INDEX('Forecast 1'!$B$9:$B$56,MATCH('Bank Statement Export'!C371,'Forecast 1'!$B$9:$B$56,0))</f>
        <v>Payroll</v>
      </c>
      <c r="E371" s="14">
        <v>370</v>
      </c>
      <c r="F371" s="10">
        <v>45261</v>
      </c>
      <c r="G371" s="9">
        <v>80026</v>
      </c>
      <c r="H371" s="9" t="s">
        <v>16</v>
      </c>
      <c r="I371" s="11">
        <v>-710</v>
      </c>
      <c r="J371" s="11">
        <v>224470</v>
      </c>
    </row>
    <row r="372" spans="1:10" x14ac:dyDescent="0.2">
      <c r="A372" s="8">
        <f t="shared" si="10"/>
        <v>45262</v>
      </c>
      <c r="B372" s="7" t="str">
        <f t="shared" si="11"/>
        <v>371 CHECK</v>
      </c>
      <c r="C372" s="7" t="str">
        <f t="array" ref="C372">IFERROR(INDEX(Mapping!$B$2:$B$22,MATCH('Bank Statement Export'!B372,Mapping!$A$2:$A$22,0)),INDEX(Table3[Category],MATCH(TRUE,ISNUMBER(SEARCH(Table3[Unique ID Contains],B372)),0)))</f>
        <v>Payroll</v>
      </c>
      <c r="D372" s="7" t="str">
        <f>INDEX('Forecast 1'!$B$9:$B$56,MATCH('Bank Statement Export'!C372,'Forecast 1'!$B$9:$B$56,0))</f>
        <v>Payroll</v>
      </c>
      <c r="E372" s="14">
        <v>371</v>
      </c>
      <c r="F372" s="10">
        <v>45261</v>
      </c>
      <c r="G372" s="9">
        <v>80027</v>
      </c>
      <c r="H372" s="9" t="s">
        <v>16</v>
      </c>
      <c r="I372" s="11">
        <v>-690</v>
      </c>
      <c r="J372" s="11">
        <v>223780</v>
      </c>
    </row>
    <row r="373" spans="1:10" x14ac:dyDescent="0.2">
      <c r="A373" s="8">
        <f t="shared" si="10"/>
        <v>45262</v>
      </c>
      <c r="B373" s="7" t="str">
        <f t="shared" si="11"/>
        <v>372 CHECK</v>
      </c>
      <c r="C373" s="7" t="str">
        <f t="array" ref="C373">IFERROR(INDEX(Mapping!$B$2:$B$22,MATCH('Bank Statement Export'!B373,Mapping!$A$2:$A$22,0)),INDEX(Table3[Category],MATCH(TRUE,ISNUMBER(SEARCH(Table3[Unique ID Contains],B373)),0)))</f>
        <v>Payroll</v>
      </c>
      <c r="D373" s="7" t="str">
        <f>INDEX('Forecast 1'!$B$9:$B$56,MATCH('Bank Statement Export'!C373,'Forecast 1'!$B$9:$B$56,0))</f>
        <v>Payroll</v>
      </c>
      <c r="E373" s="14">
        <v>372</v>
      </c>
      <c r="F373" s="10">
        <v>45261</v>
      </c>
      <c r="G373" s="9">
        <v>80028</v>
      </c>
      <c r="H373" s="9" t="s">
        <v>16</v>
      </c>
      <c r="I373" s="11">
        <v>-730</v>
      </c>
      <c r="J373" s="11">
        <v>223050</v>
      </c>
    </row>
    <row r="374" spans="1:10" x14ac:dyDescent="0.2">
      <c r="A374" s="8">
        <f t="shared" si="10"/>
        <v>45262</v>
      </c>
      <c r="B374" s="7" t="str">
        <f t="shared" si="11"/>
        <v>373 CHECK</v>
      </c>
      <c r="C374" s="7" t="str">
        <f t="array" ref="C374">IFERROR(INDEX(Mapping!$B$2:$B$22,MATCH('Bank Statement Export'!B374,Mapping!$A$2:$A$22,0)),INDEX(Table3[Category],MATCH(TRUE,ISNUMBER(SEARCH(Table3[Unique ID Contains],B374)),0)))</f>
        <v>Payroll</v>
      </c>
      <c r="D374" s="7" t="str">
        <f>INDEX('Forecast 1'!$B$9:$B$56,MATCH('Bank Statement Export'!C374,'Forecast 1'!$B$9:$B$56,0))</f>
        <v>Payroll</v>
      </c>
      <c r="E374" s="14">
        <v>373</v>
      </c>
      <c r="F374" s="10">
        <v>45261</v>
      </c>
      <c r="G374" s="9">
        <v>80029</v>
      </c>
      <c r="H374" s="9" t="s">
        <v>16</v>
      </c>
      <c r="I374" s="11">
        <v>-690</v>
      </c>
      <c r="J374" s="11">
        <v>222360</v>
      </c>
    </row>
    <row r="375" spans="1:10" x14ac:dyDescent="0.2">
      <c r="A375" s="8">
        <f t="shared" si="10"/>
        <v>45262</v>
      </c>
      <c r="B375" s="7" t="str">
        <f t="shared" si="11"/>
        <v>374 CHECK</v>
      </c>
      <c r="C375" s="7" t="str">
        <f t="array" ref="C375">IFERROR(INDEX(Mapping!$B$2:$B$22,MATCH('Bank Statement Export'!B375,Mapping!$A$2:$A$22,0)),INDEX(Table3[Category],MATCH(TRUE,ISNUMBER(SEARCH(Table3[Unique ID Contains],B375)),0)))</f>
        <v>Payroll</v>
      </c>
      <c r="D375" s="7" t="str">
        <f>INDEX('Forecast 1'!$B$9:$B$56,MATCH('Bank Statement Export'!C375,'Forecast 1'!$B$9:$B$56,0))</f>
        <v>Payroll</v>
      </c>
      <c r="E375" s="14">
        <v>374</v>
      </c>
      <c r="F375" s="10">
        <v>45261</v>
      </c>
      <c r="G375" s="9">
        <v>80030</v>
      </c>
      <c r="H375" s="9" t="s">
        <v>16</v>
      </c>
      <c r="I375" s="11">
        <v>-2110</v>
      </c>
      <c r="J375" s="11">
        <v>220250</v>
      </c>
    </row>
    <row r="376" spans="1:10" x14ac:dyDescent="0.2">
      <c r="A376" s="8">
        <f t="shared" si="10"/>
        <v>45262</v>
      </c>
      <c r="B376" s="7" t="str">
        <f t="shared" si="11"/>
        <v>375 CHECK</v>
      </c>
      <c r="C376" s="7" t="str">
        <f t="array" ref="C376">IFERROR(INDEX(Mapping!$B$2:$B$22,MATCH('Bank Statement Export'!B376,Mapping!$A$2:$A$22,0)),INDEX(Table3[Category],MATCH(TRUE,ISNUMBER(SEARCH(Table3[Unique ID Contains],B376)),0)))</f>
        <v>Payroll</v>
      </c>
      <c r="D376" s="7" t="str">
        <f>INDEX('Forecast 1'!$B$9:$B$56,MATCH('Bank Statement Export'!C376,'Forecast 1'!$B$9:$B$56,0))</f>
        <v>Payroll</v>
      </c>
      <c r="E376" s="14">
        <v>375</v>
      </c>
      <c r="F376" s="10">
        <v>45261</v>
      </c>
      <c r="G376" s="9">
        <v>80032</v>
      </c>
      <c r="H376" s="9" t="s">
        <v>16</v>
      </c>
      <c r="I376" s="11">
        <v>-810</v>
      </c>
      <c r="J376" s="11">
        <v>219440</v>
      </c>
    </row>
    <row r="377" spans="1:10" x14ac:dyDescent="0.2">
      <c r="A377" s="8">
        <f t="shared" si="10"/>
        <v>45262</v>
      </c>
      <c r="B377" s="7" t="str">
        <f t="shared" si="11"/>
        <v>376 CHECK</v>
      </c>
      <c r="C377" s="7" t="str">
        <f t="array" ref="C377">IFERROR(INDEX(Mapping!$B$2:$B$22,MATCH('Bank Statement Export'!B377,Mapping!$A$2:$A$22,0)),INDEX(Table3[Category],MATCH(TRUE,ISNUMBER(SEARCH(Table3[Unique ID Contains],B377)),0)))</f>
        <v>Payroll</v>
      </c>
      <c r="D377" s="7" t="str">
        <f>INDEX('Forecast 1'!$B$9:$B$56,MATCH('Bank Statement Export'!C377,'Forecast 1'!$B$9:$B$56,0))</f>
        <v>Payroll</v>
      </c>
      <c r="E377" s="14">
        <v>376</v>
      </c>
      <c r="F377" s="10">
        <v>45261</v>
      </c>
      <c r="G377" s="9">
        <v>80033</v>
      </c>
      <c r="H377" s="9" t="s">
        <v>16</v>
      </c>
      <c r="I377" s="11">
        <v>-820</v>
      </c>
      <c r="J377" s="11">
        <v>218620</v>
      </c>
    </row>
    <row r="378" spans="1:10" x14ac:dyDescent="0.2">
      <c r="A378" s="8">
        <f t="shared" si="10"/>
        <v>45262</v>
      </c>
      <c r="B378" s="7" t="str">
        <f t="shared" si="11"/>
        <v>377 CHECK</v>
      </c>
      <c r="C378" s="7" t="str">
        <f t="array" ref="C378">IFERROR(INDEX(Mapping!$B$2:$B$22,MATCH('Bank Statement Export'!B378,Mapping!$A$2:$A$22,0)),INDEX(Table3[Category],MATCH(TRUE,ISNUMBER(SEARCH(Table3[Unique ID Contains],B378)),0)))</f>
        <v>Payroll</v>
      </c>
      <c r="D378" s="7" t="str">
        <f>INDEX('Forecast 1'!$B$9:$B$56,MATCH('Bank Statement Export'!C378,'Forecast 1'!$B$9:$B$56,0))</f>
        <v>Payroll</v>
      </c>
      <c r="E378" s="14">
        <v>377</v>
      </c>
      <c r="F378" s="10">
        <v>45261</v>
      </c>
      <c r="G378" s="9">
        <v>80034</v>
      </c>
      <c r="H378" s="9" t="s">
        <v>16</v>
      </c>
      <c r="I378" s="11">
        <v>-920</v>
      </c>
      <c r="J378" s="11">
        <v>217700</v>
      </c>
    </row>
    <row r="379" spans="1:10" x14ac:dyDescent="0.2">
      <c r="A379" s="8">
        <f t="shared" si="10"/>
        <v>45262</v>
      </c>
      <c r="B379" s="7" t="str">
        <f t="shared" si="11"/>
        <v>378 CHECK</v>
      </c>
      <c r="C379" s="7" t="str">
        <f t="array" ref="C379">IFERROR(INDEX(Mapping!$B$2:$B$22,MATCH('Bank Statement Export'!B379,Mapping!$A$2:$A$22,0)),INDEX(Table3[Category],MATCH(TRUE,ISNUMBER(SEARCH(Table3[Unique ID Contains],B379)),0)))</f>
        <v>Payroll</v>
      </c>
      <c r="D379" s="7" t="str">
        <f>INDEX('Forecast 1'!$B$9:$B$56,MATCH('Bank Statement Export'!C379,'Forecast 1'!$B$9:$B$56,0))</f>
        <v>Payroll</v>
      </c>
      <c r="E379" s="14">
        <v>378</v>
      </c>
      <c r="F379" s="10">
        <v>45261</v>
      </c>
      <c r="G379" s="9">
        <v>80035</v>
      </c>
      <c r="H379" s="9" t="s">
        <v>16</v>
      </c>
      <c r="I379" s="11">
        <v>-850</v>
      </c>
      <c r="J379" s="11">
        <v>216850</v>
      </c>
    </row>
    <row r="380" spans="1:10" x14ac:dyDescent="0.2">
      <c r="A380" s="8">
        <f t="shared" si="10"/>
        <v>45262</v>
      </c>
      <c r="B380" s="7" t="str">
        <f t="shared" si="11"/>
        <v>379 CHECK</v>
      </c>
      <c r="C380" s="7" t="str">
        <f t="array" ref="C380">IFERROR(INDEX(Mapping!$B$2:$B$22,MATCH('Bank Statement Export'!B380,Mapping!$A$2:$A$22,0)),INDEX(Table3[Category],MATCH(TRUE,ISNUMBER(SEARCH(Table3[Unique ID Contains],B380)),0)))</f>
        <v>Payroll</v>
      </c>
      <c r="D380" s="7" t="str">
        <f>INDEX('Forecast 1'!$B$9:$B$56,MATCH('Bank Statement Export'!C380,'Forecast 1'!$B$9:$B$56,0))</f>
        <v>Payroll</v>
      </c>
      <c r="E380" s="14">
        <v>379</v>
      </c>
      <c r="F380" s="10">
        <v>45261</v>
      </c>
      <c r="G380" s="9">
        <v>80036</v>
      </c>
      <c r="H380" s="9" t="s">
        <v>16</v>
      </c>
      <c r="I380" s="11">
        <v>-720</v>
      </c>
      <c r="J380" s="11">
        <v>216130</v>
      </c>
    </row>
    <row r="381" spans="1:10" x14ac:dyDescent="0.2">
      <c r="A381" s="8">
        <f t="shared" si="10"/>
        <v>45262</v>
      </c>
      <c r="B381" s="7" t="str">
        <f t="shared" si="11"/>
        <v>380 CHECK</v>
      </c>
      <c r="C381" s="7" t="str">
        <f t="array" ref="C381">IFERROR(INDEX(Mapping!$B$2:$B$22,MATCH('Bank Statement Export'!B381,Mapping!$A$2:$A$22,0)),INDEX(Table3[Category],MATCH(TRUE,ISNUMBER(SEARCH(Table3[Unique ID Contains],B381)),0)))</f>
        <v>Payroll</v>
      </c>
      <c r="D381" s="7" t="str">
        <f>INDEX('Forecast 1'!$B$9:$B$56,MATCH('Bank Statement Export'!C381,'Forecast 1'!$B$9:$B$56,0))</f>
        <v>Payroll</v>
      </c>
      <c r="E381" s="14">
        <v>380</v>
      </c>
      <c r="F381" s="10">
        <v>45261</v>
      </c>
      <c r="G381" s="9">
        <v>80037</v>
      </c>
      <c r="H381" s="9" t="s">
        <v>16</v>
      </c>
      <c r="I381" s="11">
        <v>-970</v>
      </c>
      <c r="J381" s="11">
        <v>215160</v>
      </c>
    </row>
  </sheetData>
  <autoFilter ref="A1:J381" xr:uid="{255CF612-A39F-4EC6-8F90-06EF83F6F05D}"/>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E517-B2B9-4850-BBEF-1D26CE2D953F}">
  <sheetPr>
    <tabColor theme="0" tint="-0.249977111117893"/>
  </sheetPr>
  <dimension ref="A1:B23"/>
  <sheetViews>
    <sheetView workbookViewId="0"/>
  </sheetViews>
  <sheetFormatPr defaultRowHeight="12.75" x14ac:dyDescent="0.2"/>
  <cols>
    <col min="1" max="1" width="17.28515625" style="7" bestFit="1" customWidth="1"/>
    <col min="2" max="2" width="25.140625" style="7" bestFit="1" customWidth="1"/>
    <col min="3" max="16384" width="9.140625" style="7"/>
  </cols>
  <sheetData>
    <row r="1" spans="1:2" x14ac:dyDescent="0.2">
      <c r="A1" s="27" t="s">
        <v>91</v>
      </c>
      <c r="B1" s="27" t="s">
        <v>92</v>
      </c>
    </row>
    <row r="2" spans="1:2" x14ac:dyDescent="0.2">
      <c r="A2" s="7" t="s">
        <v>93</v>
      </c>
      <c r="B2" s="7" t="s">
        <v>74</v>
      </c>
    </row>
    <row r="3" spans="1:2" x14ac:dyDescent="0.2">
      <c r="A3" s="7" t="s">
        <v>94</v>
      </c>
      <c r="B3" s="7" t="s">
        <v>52</v>
      </c>
    </row>
    <row r="4" spans="1:2" x14ac:dyDescent="0.2">
      <c r="A4" s="7" t="s">
        <v>16</v>
      </c>
      <c r="B4" s="7" t="s">
        <v>53</v>
      </c>
    </row>
    <row r="5" spans="1:2" x14ac:dyDescent="0.2">
      <c r="A5" s="7" t="s">
        <v>95</v>
      </c>
      <c r="B5" s="7" t="s">
        <v>74</v>
      </c>
    </row>
    <row r="6" spans="1:2" x14ac:dyDescent="0.2">
      <c r="A6" s="7" t="s">
        <v>18</v>
      </c>
      <c r="B6" s="7" t="s">
        <v>96</v>
      </c>
    </row>
    <row r="7" spans="1:2" x14ac:dyDescent="0.2">
      <c r="A7" s="7" t="s">
        <v>97</v>
      </c>
      <c r="B7" s="7" t="s">
        <v>74</v>
      </c>
    </row>
    <row r="8" spans="1:2" x14ac:dyDescent="0.2">
      <c r="A8" s="7" t="s">
        <v>98</v>
      </c>
      <c r="B8" s="7" t="s">
        <v>62</v>
      </c>
    </row>
    <row r="9" spans="1:2" x14ac:dyDescent="0.2">
      <c r="A9" s="7" t="s">
        <v>99</v>
      </c>
      <c r="B9" s="7" t="s">
        <v>81</v>
      </c>
    </row>
    <row r="10" spans="1:2" x14ac:dyDescent="0.2">
      <c r="A10" s="7" t="s">
        <v>100</v>
      </c>
      <c r="B10" s="7" t="s">
        <v>57</v>
      </c>
    </row>
    <row r="11" spans="1:2" x14ac:dyDescent="0.2">
      <c r="A11" s="7" t="s">
        <v>101</v>
      </c>
      <c r="B11" s="7" t="s">
        <v>52</v>
      </c>
    </row>
    <row r="12" spans="1:2" x14ac:dyDescent="0.2">
      <c r="A12" s="7" t="s">
        <v>102</v>
      </c>
      <c r="B12" s="7" t="s">
        <v>59</v>
      </c>
    </row>
    <row r="13" spans="1:2" x14ac:dyDescent="0.2">
      <c r="A13" s="7" t="s">
        <v>103</v>
      </c>
      <c r="B13" s="7" t="s">
        <v>68</v>
      </c>
    </row>
    <row r="14" spans="1:2" x14ac:dyDescent="0.2">
      <c r="A14" s="7" t="s">
        <v>104</v>
      </c>
      <c r="B14" s="7" t="s">
        <v>53</v>
      </c>
    </row>
    <row r="15" spans="1:2" x14ac:dyDescent="0.2">
      <c r="A15" s="7" t="s">
        <v>105</v>
      </c>
      <c r="B15" s="7" t="s">
        <v>60</v>
      </c>
    </row>
    <row r="16" spans="1:2" x14ac:dyDescent="0.2">
      <c r="A16" s="7" t="s">
        <v>106</v>
      </c>
      <c r="B16" s="7" t="s">
        <v>96</v>
      </c>
    </row>
    <row r="17" spans="1:2" x14ac:dyDescent="0.2">
      <c r="A17" s="7" t="s">
        <v>107</v>
      </c>
      <c r="B17" s="7" t="s">
        <v>81</v>
      </c>
    </row>
    <row r="18" spans="1:2" x14ac:dyDescent="0.2">
      <c r="A18" s="7" t="s">
        <v>108</v>
      </c>
      <c r="B18" s="7" t="s">
        <v>72</v>
      </c>
    </row>
    <row r="19" spans="1:2" x14ac:dyDescent="0.2">
      <c r="A19" s="7" t="s">
        <v>109</v>
      </c>
      <c r="B19" s="7" t="s">
        <v>72</v>
      </c>
    </row>
    <row r="20" spans="1:2" x14ac:dyDescent="0.2">
      <c r="A20" s="7" t="s">
        <v>110</v>
      </c>
      <c r="B20" s="7" t="s">
        <v>96</v>
      </c>
    </row>
    <row r="21" spans="1:2" x14ac:dyDescent="0.2">
      <c r="A21" s="7" t="s">
        <v>111</v>
      </c>
      <c r="B21" s="7" t="s">
        <v>84</v>
      </c>
    </row>
    <row r="22" spans="1:2" x14ac:dyDescent="0.2">
      <c r="A22" s="7" t="s">
        <v>112</v>
      </c>
      <c r="B22" s="7" t="s">
        <v>84</v>
      </c>
    </row>
    <row r="23" spans="1:2" x14ac:dyDescent="0.2">
      <c r="A23" s="7" t="s">
        <v>113</v>
      </c>
      <c r="B23" s="7" t="s">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2C75E-1976-4485-BE04-D9A8BFBAA1C3}">
  <sheetPr>
    <tabColor theme="0" tint="-0.249977111117893"/>
  </sheetPr>
  <dimension ref="A1:K46"/>
  <sheetViews>
    <sheetView showGridLines="0" zoomScaleNormal="100" workbookViewId="0">
      <pane ySplit="2" topLeftCell="A6" activePane="bottomLeft" state="frozen"/>
      <selection activeCell="Q25" sqref="Q25"/>
      <selection pane="bottomLeft"/>
    </sheetView>
  </sheetViews>
  <sheetFormatPr defaultRowHeight="12.75" x14ac:dyDescent="0.2"/>
  <cols>
    <col min="1" max="1" width="12" style="7" bestFit="1" customWidth="1"/>
    <col min="2" max="11" width="15.7109375" style="7" customWidth="1"/>
    <col min="12" max="16384" width="9.140625" style="7"/>
  </cols>
  <sheetData>
    <row r="1" spans="1:11" ht="15" x14ac:dyDescent="0.35">
      <c r="A1" s="71"/>
      <c r="B1" s="71" t="s">
        <v>155</v>
      </c>
      <c r="C1" s="71"/>
      <c r="D1" s="71"/>
      <c r="E1" s="71" t="s">
        <v>156</v>
      </c>
      <c r="F1" s="71"/>
      <c r="G1" s="71"/>
      <c r="H1" s="71"/>
      <c r="I1" s="71"/>
      <c r="J1" s="71"/>
      <c r="K1" s="71"/>
    </row>
    <row r="2" spans="1:11" x14ac:dyDescent="0.2">
      <c r="A2" s="72" t="s">
        <v>37</v>
      </c>
      <c r="B2" s="72" t="s">
        <v>157</v>
      </c>
      <c r="C2" s="72" t="s">
        <v>158</v>
      </c>
      <c r="D2" s="72" t="s">
        <v>159</v>
      </c>
      <c r="E2" s="73" t="s">
        <v>160</v>
      </c>
      <c r="F2" s="72" t="s">
        <v>161</v>
      </c>
      <c r="G2" s="72" t="s">
        <v>162</v>
      </c>
      <c r="H2" s="72" t="s">
        <v>163</v>
      </c>
      <c r="I2" s="72" t="s">
        <v>164</v>
      </c>
      <c r="J2" s="72" t="s">
        <v>165</v>
      </c>
      <c r="K2" s="72" t="s">
        <v>166</v>
      </c>
    </row>
    <row r="3" spans="1:11" x14ac:dyDescent="0.2">
      <c r="A3" s="8">
        <f>C3+7-WEEKDAY(C3)</f>
        <v>45325</v>
      </c>
      <c r="B3" s="60">
        <v>1300</v>
      </c>
      <c r="C3" s="43">
        <v>45323</v>
      </c>
      <c r="D3" s="44" t="s">
        <v>167</v>
      </c>
      <c r="E3" s="45" t="s">
        <v>168</v>
      </c>
      <c r="F3" s="61">
        <v>1300</v>
      </c>
      <c r="G3" s="61">
        <v>0</v>
      </c>
      <c r="H3" s="61">
        <v>0</v>
      </c>
      <c r="I3" s="61">
        <v>0</v>
      </c>
      <c r="J3" s="61">
        <v>0</v>
      </c>
      <c r="K3" s="61">
        <f t="shared" ref="K3:K46" si="0">SUM(F3:J3)</f>
        <v>1300</v>
      </c>
    </row>
    <row r="4" spans="1:11" x14ac:dyDescent="0.2">
      <c r="A4" s="8">
        <f t="shared" ref="A4:A46" si="1">C4+7-WEEKDAY(C4)</f>
        <v>45297</v>
      </c>
      <c r="B4" s="60">
        <v>5000</v>
      </c>
      <c r="C4" s="43">
        <v>45292</v>
      </c>
      <c r="D4" s="44" t="s">
        <v>167</v>
      </c>
      <c r="E4" s="47" t="s">
        <v>94</v>
      </c>
      <c r="F4" s="62">
        <v>0</v>
      </c>
      <c r="G4" s="62">
        <v>0</v>
      </c>
      <c r="H4" s="62">
        <v>0</v>
      </c>
      <c r="I4" s="62">
        <v>0</v>
      </c>
      <c r="J4" s="62">
        <v>0</v>
      </c>
      <c r="K4" s="62">
        <f t="shared" si="0"/>
        <v>0</v>
      </c>
    </row>
    <row r="5" spans="1:11" x14ac:dyDescent="0.2">
      <c r="A5" s="8">
        <f t="shared" si="1"/>
        <v>45325</v>
      </c>
      <c r="B5" s="60">
        <v>5000</v>
      </c>
      <c r="C5" s="43">
        <v>45323</v>
      </c>
      <c r="D5" s="44" t="s">
        <v>167</v>
      </c>
      <c r="E5" s="47" t="s">
        <v>94</v>
      </c>
      <c r="F5" s="62">
        <v>0</v>
      </c>
      <c r="G5" s="62">
        <v>0</v>
      </c>
      <c r="H5" s="62">
        <v>0</v>
      </c>
      <c r="I5" s="62">
        <v>0</v>
      </c>
      <c r="J5" s="62">
        <v>0</v>
      </c>
      <c r="K5" s="62">
        <f t="shared" si="0"/>
        <v>0</v>
      </c>
    </row>
    <row r="6" spans="1:11" x14ac:dyDescent="0.2">
      <c r="A6" s="8">
        <f>C6+7-WEEKDAY(C6)</f>
        <v>45353</v>
      </c>
      <c r="B6" s="60">
        <v>5000</v>
      </c>
      <c r="C6" s="43">
        <v>45352</v>
      </c>
      <c r="D6" s="44" t="s">
        <v>167</v>
      </c>
      <c r="E6" s="47" t="s">
        <v>94</v>
      </c>
      <c r="F6" s="62">
        <v>0</v>
      </c>
      <c r="G6" s="62">
        <v>0</v>
      </c>
      <c r="H6" s="62">
        <v>0</v>
      </c>
      <c r="I6" s="62">
        <v>0</v>
      </c>
      <c r="J6" s="62">
        <v>0</v>
      </c>
      <c r="K6" s="62">
        <f t="shared" si="0"/>
        <v>0</v>
      </c>
    </row>
    <row r="7" spans="1:11" x14ac:dyDescent="0.2">
      <c r="A7" s="8">
        <f t="shared" si="1"/>
        <v>45325</v>
      </c>
      <c r="B7" s="60">
        <v>900</v>
      </c>
      <c r="C7" s="43">
        <v>45323</v>
      </c>
      <c r="D7" s="44" t="s">
        <v>167</v>
      </c>
      <c r="E7" s="48" t="s">
        <v>169</v>
      </c>
      <c r="F7" s="61">
        <v>0</v>
      </c>
      <c r="G7" s="61">
        <v>900</v>
      </c>
      <c r="H7" s="61">
        <v>0</v>
      </c>
      <c r="I7" s="61">
        <v>0</v>
      </c>
      <c r="J7" s="61">
        <v>0</v>
      </c>
      <c r="K7" s="61">
        <f t="shared" si="0"/>
        <v>900</v>
      </c>
    </row>
    <row r="8" spans="1:11" x14ac:dyDescent="0.2">
      <c r="A8" s="8">
        <f t="shared" si="1"/>
        <v>45283</v>
      </c>
      <c r="B8" s="60">
        <v>37000</v>
      </c>
      <c r="C8" s="43">
        <v>45280</v>
      </c>
      <c r="D8" s="44"/>
      <c r="E8" s="45" t="s">
        <v>170</v>
      </c>
      <c r="F8" s="61">
        <v>0</v>
      </c>
      <c r="G8" s="61">
        <v>0</v>
      </c>
      <c r="H8" s="61">
        <v>37000</v>
      </c>
      <c r="I8" s="61">
        <v>0</v>
      </c>
      <c r="J8" s="61">
        <v>0</v>
      </c>
      <c r="K8" s="61">
        <f t="shared" si="0"/>
        <v>37000</v>
      </c>
    </row>
    <row r="9" spans="1:11" x14ac:dyDescent="0.2">
      <c r="A9" s="8">
        <f t="shared" si="1"/>
        <v>45325</v>
      </c>
      <c r="B9" s="60">
        <v>3100</v>
      </c>
      <c r="C9" s="43">
        <v>45323</v>
      </c>
      <c r="D9" s="44" t="s">
        <v>167</v>
      </c>
      <c r="E9" s="48" t="s">
        <v>171</v>
      </c>
      <c r="F9" s="61">
        <v>0</v>
      </c>
      <c r="G9" s="61">
        <v>3100</v>
      </c>
      <c r="H9" s="61">
        <v>0</v>
      </c>
      <c r="I9" s="61">
        <v>0</v>
      </c>
      <c r="J9" s="61">
        <v>0</v>
      </c>
      <c r="K9" s="61">
        <f t="shared" si="0"/>
        <v>3100</v>
      </c>
    </row>
    <row r="10" spans="1:11" x14ac:dyDescent="0.2">
      <c r="A10" s="8">
        <f t="shared" si="1"/>
        <v>45325</v>
      </c>
      <c r="B10" s="60">
        <v>11900</v>
      </c>
      <c r="C10" s="43">
        <v>45323</v>
      </c>
      <c r="D10" s="44" t="s">
        <v>167</v>
      </c>
      <c r="E10" s="48" t="s">
        <v>172</v>
      </c>
      <c r="F10" s="61">
        <v>0</v>
      </c>
      <c r="G10" s="61">
        <v>11900</v>
      </c>
      <c r="H10" s="61">
        <v>0</v>
      </c>
      <c r="I10" s="61">
        <v>0</v>
      </c>
      <c r="J10" s="61">
        <v>0</v>
      </c>
      <c r="K10" s="61">
        <f t="shared" si="0"/>
        <v>11900</v>
      </c>
    </row>
    <row r="11" spans="1:11" x14ac:dyDescent="0.2">
      <c r="A11" s="8">
        <f t="shared" si="1"/>
        <v>45325</v>
      </c>
      <c r="B11" s="60">
        <v>1500</v>
      </c>
      <c r="C11" s="43">
        <v>45323</v>
      </c>
      <c r="D11" s="44" t="s">
        <v>167</v>
      </c>
      <c r="E11" s="45" t="s">
        <v>173</v>
      </c>
      <c r="F11" s="61">
        <v>1200</v>
      </c>
      <c r="G11" s="61">
        <v>1200</v>
      </c>
      <c r="H11" s="61">
        <v>11600</v>
      </c>
      <c r="I11" s="61">
        <v>300</v>
      </c>
      <c r="J11" s="61">
        <v>200</v>
      </c>
      <c r="K11" s="61">
        <f t="shared" si="0"/>
        <v>14500</v>
      </c>
    </row>
    <row r="12" spans="1:11" x14ac:dyDescent="0.2">
      <c r="A12" s="8">
        <f t="shared" si="1"/>
        <v>45325</v>
      </c>
      <c r="B12" s="60">
        <v>1700</v>
      </c>
      <c r="C12" s="43">
        <v>45323</v>
      </c>
      <c r="D12" s="44" t="s">
        <v>167</v>
      </c>
      <c r="E12" s="45" t="s">
        <v>174</v>
      </c>
      <c r="F12" s="61">
        <v>1700</v>
      </c>
      <c r="G12" s="61">
        <v>0</v>
      </c>
      <c r="H12" s="61">
        <v>0</v>
      </c>
      <c r="I12" s="61">
        <v>0</v>
      </c>
      <c r="J12" s="61">
        <v>0</v>
      </c>
      <c r="K12" s="61">
        <f t="shared" si="0"/>
        <v>1700</v>
      </c>
    </row>
    <row r="13" spans="1:11" x14ac:dyDescent="0.2">
      <c r="A13" s="8">
        <f t="shared" si="1"/>
        <v>45325</v>
      </c>
      <c r="B13" s="60">
        <v>23100</v>
      </c>
      <c r="C13" s="43">
        <v>45323</v>
      </c>
      <c r="D13" s="44" t="s">
        <v>167</v>
      </c>
      <c r="E13" s="48" t="s">
        <v>175</v>
      </c>
      <c r="F13" s="61">
        <v>16900</v>
      </c>
      <c r="G13" s="61">
        <v>6200</v>
      </c>
      <c r="H13" s="61">
        <v>0</v>
      </c>
      <c r="I13" s="61">
        <v>0</v>
      </c>
      <c r="J13" s="61">
        <v>0</v>
      </c>
      <c r="K13" s="61">
        <f t="shared" si="0"/>
        <v>23100</v>
      </c>
    </row>
    <row r="14" spans="1:11" x14ac:dyDescent="0.2">
      <c r="A14" s="8">
        <f t="shared" si="1"/>
        <v>45283</v>
      </c>
      <c r="B14" s="60">
        <v>56200</v>
      </c>
      <c r="C14" s="43">
        <v>45280</v>
      </c>
      <c r="D14" s="44"/>
      <c r="E14" s="45" t="s">
        <v>176</v>
      </c>
      <c r="F14" s="61">
        <v>0</v>
      </c>
      <c r="G14" s="61">
        <v>56200</v>
      </c>
      <c r="H14" s="61">
        <v>0</v>
      </c>
      <c r="I14" s="61">
        <v>0</v>
      </c>
      <c r="J14" s="61">
        <v>0</v>
      </c>
      <c r="K14" s="61">
        <f t="shared" si="0"/>
        <v>56200</v>
      </c>
    </row>
    <row r="15" spans="1:11" x14ac:dyDescent="0.2">
      <c r="A15" s="8">
        <f t="shared" si="1"/>
        <v>45325</v>
      </c>
      <c r="B15" s="60">
        <v>2000</v>
      </c>
      <c r="C15" s="43">
        <v>45323</v>
      </c>
      <c r="D15" s="44" t="s">
        <v>167</v>
      </c>
      <c r="E15" s="48" t="s">
        <v>177</v>
      </c>
      <c r="F15" s="61">
        <v>0</v>
      </c>
      <c r="G15" s="61">
        <v>2000</v>
      </c>
      <c r="H15" s="61">
        <v>0</v>
      </c>
      <c r="I15" s="61">
        <v>0</v>
      </c>
      <c r="J15" s="61">
        <v>0</v>
      </c>
      <c r="K15" s="61">
        <f t="shared" si="0"/>
        <v>2000</v>
      </c>
    </row>
    <row r="16" spans="1:11" x14ac:dyDescent="0.2">
      <c r="A16" s="8">
        <f t="shared" si="1"/>
        <v>45325</v>
      </c>
      <c r="B16" s="60">
        <v>500</v>
      </c>
      <c r="C16" s="43">
        <v>45323</v>
      </c>
      <c r="D16" s="44" t="s">
        <v>167</v>
      </c>
      <c r="E16" s="45" t="s">
        <v>178</v>
      </c>
      <c r="F16" s="61">
        <v>500</v>
      </c>
      <c r="G16" s="61">
        <v>0</v>
      </c>
      <c r="H16" s="61">
        <v>0</v>
      </c>
      <c r="I16" s="61">
        <v>0</v>
      </c>
      <c r="J16" s="61">
        <v>0</v>
      </c>
      <c r="K16" s="61">
        <f t="shared" si="0"/>
        <v>500</v>
      </c>
    </row>
    <row r="17" spans="1:11" x14ac:dyDescent="0.2">
      <c r="A17" s="8">
        <f t="shared" si="1"/>
        <v>45269</v>
      </c>
      <c r="B17" s="60">
        <v>800</v>
      </c>
      <c r="C17" s="43">
        <v>45266</v>
      </c>
      <c r="D17" s="44"/>
      <c r="E17" s="45" t="s">
        <v>179</v>
      </c>
      <c r="F17" s="61">
        <v>0</v>
      </c>
      <c r="G17" s="61">
        <v>800</v>
      </c>
      <c r="H17" s="61">
        <v>0</v>
      </c>
      <c r="I17" s="61">
        <v>0</v>
      </c>
      <c r="J17" s="61">
        <v>0</v>
      </c>
      <c r="K17" s="61">
        <f t="shared" si="0"/>
        <v>800</v>
      </c>
    </row>
    <row r="18" spans="1:11" x14ac:dyDescent="0.2">
      <c r="A18" s="8">
        <f t="shared" si="1"/>
        <v>45325</v>
      </c>
      <c r="B18" s="60">
        <v>6500</v>
      </c>
      <c r="C18" s="43">
        <v>45323</v>
      </c>
      <c r="D18" s="44" t="s">
        <v>167</v>
      </c>
      <c r="E18" s="48" t="s">
        <v>180</v>
      </c>
      <c r="F18" s="61">
        <v>6500</v>
      </c>
      <c r="G18" s="61">
        <v>0</v>
      </c>
      <c r="H18" s="61">
        <v>0</v>
      </c>
      <c r="I18" s="61">
        <v>0</v>
      </c>
      <c r="J18" s="61">
        <v>0</v>
      </c>
      <c r="K18" s="61">
        <f t="shared" si="0"/>
        <v>6500</v>
      </c>
    </row>
    <row r="19" spans="1:11" x14ac:dyDescent="0.2">
      <c r="A19" s="8">
        <f t="shared" si="1"/>
        <v>45283</v>
      </c>
      <c r="B19" s="60">
        <v>30000</v>
      </c>
      <c r="C19" s="43">
        <v>45280</v>
      </c>
      <c r="D19" s="44"/>
      <c r="E19" s="48" t="s">
        <v>181</v>
      </c>
      <c r="F19" s="61">
        <v>0</v>
      </c>
      <c r="G19" s="61">
        <v>61400</v>
      </c>
      <c r="H19" s="61">
        <v>40400</v>
      </c>
      <c r="I19" s="61">
        <v>17000</v>
      </c>
      <c r="J19" s="61">
        <v>13300</v>
      </c>
      <c r="K19" s="61">
        <f t="shared" si="0"/>
        <v>132100</v>
      </c>
    </row>
    <row r="20" spans="1:11" x14ac:dyDescent="0.2">
      <c r="A20" s="8">
        <f t="shared" si="1"/>
        <v>45297</v>
      </c>
      <c r="B20" s="60">
        <v>50000</v>
      </c>
      <c r="C20" s="43">
        <v>45296</v>
      </c>
      <c r="D20" s="44" t="s">
        <v>167</v>
      </c>
      <c r="E20" s="47" t="s">
        <v>181</v>
      </c>
      <c r="F20" s="62">
        <v>0</v>
      </c>
      <c r="G20" s="62">
        <v>0</v>
      </c>
      <c r="H20" s="62">
        <v>0</v>
      </c>
      <c r="I20" s="62">
        <v>0</v>
      </c>
      <c r="J20" s="62">
        <v>0</v>
      </c>
      <c r="K20" s="62">
        <f t="shared" si="0"/>
        <v>0</v>
      </c>
    </row>
    <row r="21" spans="1:11" x14ac:dyDescent="0.2">
      <c r="A21" s="8">
        <f t="shared" si="1"/>
        <v>45339</v>
      </c>
      <c r="B21" s="60">
        <v>50000</v>
      </c>
      <c r="C21" s="43">
        <v>45337</v>
      </c>
      <c r="D21" s="44"/>
      <c r="E21" s="47" t="s">
        <v>181</v>
      </c>
      <c r="F21" s="62">
        <v>0</v>
      </c>
      <c r="G21" s="62">
        <v>0</v>
      </c>
      <c r="H21" s="62">
        <v>0</v>
      </c>
      <c r="I21" s="62">
        <v>0</v>
      </c>
      <c r="J21" s="62">
        <v>0</v>
      </c>
      <c r="K21" s="62">
        <f t="shared" si="0"/>
        <v>0</v>
      </c>
    </row>
    <row r="22" spans="1:11" x14ac:dyDescent="0.2">
      <c r="A22" s="8">
        <f t="shared" si="1"/>
        <v>45325</v>
      </c>
      <c r="B22" s="60">
        <v>2000</v>
      </c>
      <c r="C22" s="43">
        <v>45323</v>
      </c>
      <c r="D22" s="44" t="s">
        <v>167</v>
      </c>
      <c r="E22" s="45" t="s">
        <v>182</v>
      </c>
      <c r="F22" s="61">
        <v>2000</v>
      </c>
      <c r="G22" s="61">
        <v>0</v>
      </c>
      <c r="H22" s="61">
        <v>0</v>
      </c>
      <c r="I22" s="61">
        <v>0</v>
      </c>
      <c r="J22" s="61">
        <v>0</v>
      </c>
      <c r="K22" s="61">
        <f t="shared" si="0"/>
        <v>2000</v>
      </c>
    </row>
    <row r="23" spans="1:11" x14ac:dyDescent="0.2">
      <c r="A23" s="8">
        <f t="shared" si="1"/>
        <v>45325</v>
      </c>
      <c r="B23" s="60">
        <v>120000</v>
      </c>
      <c r="C23" s="43">
        <v>45323</v>
      </c>
      <c r="D23" s="44" t="s">
        <v>167</v>
      </c>
      <c r="E23" s="45" t="s">
        <v>183</v>
      </c>
      <c r="F23" s="61">
        <v>75200</v>
      </c>
      <c r="G23" s="61">
        <v>156500</v>
      </c>
      <c r="H23" s="61">
        <v>74200</v>
      </c>
      <c r="I23" s="61">
        <v>95500</v>
      </c>
      <c r="J23" s="61">
        <v>15500</v>
      </c>
      <c r="K23" s="61">
        <f t="shared" si="0"/>
        <v>416900</v>
      </c>
    </row>
    <row r="24" spans="1:11" x14ac:dyDescent="0.2">
      <c r="A24" s="8">
        <f t="shared" si="1"/>
        <v>45353</v>
      </c>
      <c r="B24" s="60">
        <v>205000</v>
      </c>
      <c r="C24" s="43">
        <v>45352</v>
      </c>
      <c r="D24" s="44" t="s">
        <v>167</v>
      </c>
      <c r="E24" s="47" t="s">
        <v>183</v>
      </c>
      <c r="F24" s="62">
        <v>0</v>
      </c>
      <c r="G24" s="62">
        <v>0</v>
      </c>
      <c r="H24" s="62">
        <v>0</v>
      </c>
      <c r="I24" s="62">
        <v>0</v>
      </c>
      <c r="J24" s="62">
        <v>0</v>
      </c>
      <c r="K24" s="62">
        <f t="shared" si="0"/>
        <v>0</v>
      </c>
    </row>
    <row r="25" spans="1:11" x14ac:dyDescent="0.2">
      <c r="A25" s="8">
        <f t="shared" si="1"/>
        <v>45332</v>
      </c>
      <c r="B25" s="60">
        <v>300</v>
      </c>
      <c r="C25" s="43">
        <v>45327</v>
      </c>
      <c r="D25" s="44"/>
      <c r="E25" s="45" t="s">
        <v>184</v>
      </c>
      <c r="F25" s="61">
        <v>0</v>
      </c>
      <c r="G25" s="61">
        <v>300</v>
      </c>
      <c r="H25" s="61">
        <v>0</v>
      </c>
      <c r="I25" s="61">
        <v>0</v>
      </c>
      <c r="J25" s="61">
        <v>0</v>
      </c>
      <c r="K25" s="61">
        <f t="shared" si="0"/>
        <v>300</v>
      </c>
    </row>
    <row r="26" spans="1:11" x14ac:dyDescent="0.2">
      <c r="A26" s="8">
        <f t="shared" si="1"/>
        <v>45332</v>
      </c>
      <c r="B26" s="60">
        <v>700</v>
      </c>
      <c r="C26" s="43">
        <v>45327</v>
      </c>
      <c r="D26" s="44"/>
      <c r="E26" s="48" t="s">
        <v>185</v>
      </c>
      <c r="F26" s="61">
        <v>700</v>
      </c>
      <c r="G26" s="61">
        <v>0</v>
      </c>
      <c r="H26" s="61">
        <v>0</v>
      </c>
      <c r="I26" s="61">
        <v>0</v>
      </c>
      <c r="J26" s="61">
        <v>0</v>
      </c>
      <c r="K26" s="61">
        <f t="shared" si="0"/>
        <v>700</v>
      </c>
    </row>
    <row r="27" spans="1:11" x14ac:dyDescent="0.2">
      <c r="A27" s="8">
        <f t="shared" si="1"/>
        <v>45332</v>
      </c>
      <c r="B27" s="60">
        <v>6000</v>
      </c>
      <c r="C27" s="43">
        <v>45327</v>
      </c>
      <c r="D27" s="44"/>
      <c r="E27" s="45" t="s">
        <v>186</v>
      </c>
      <c r="F27" s="61">
        <v>0</v>
      </c>
      <c r="G27" s="61">
        <v>6000</v>
      </c>
      <c r="H27" s="61">
        <v>0</v>
      </c>
      <c r="I27" s="61">
        <v>0</v>
      </c>
      <c r="J27" s="61">
        <v>0</v>
      </c>
      <c r="K27" s="61">
        <f t="shared" si="0"/>
        <v>6000</v>
      </c>
    </row>
    <row r="28" spans="1:11" x14ac:dyDescent="0.2">
      <c r="A28" s="8">
        <f t="shared" si="1"/>
        <v>45269</v>
      </c>
      <c r="B28" s="60">
        <v>350000</v>
      </c>
      <c r="C28" s="43">
        <v>45265</v>
      </c>
      <c r="D28" s="44" t="s">
        <v>167</v>
      </c>
      <c r="E28" s="45" t="s">
        <v>101</v>
      </c>
      <c r="F28" s="61">
        <v>0</v>
      </c>
      <c r="G28" s="61">
        <v>355300</v>
      </c>
      <c r="H28" s="61">
        <v>0</v>
      </c>
      <c r="I28" s="61">
        <v>0</v>
      </c>
      <c r="J28" s="61">
        <v>0</v>
      </c>
      <c r="K28" s="61">
        <f t="shared" si="0"/>
        <v>355300</v>
      </c>
    </row>
    <row r="29" spans="1:11" x14ac:dyDescent="0.2">
      <c r="A29" s="8">
        <f t="shared" si="1"/>
        <v>45332</v>
      </c>
      <c r="B29" s="60">
        <v>2500</v>
      </c>
      <c r="C29" s="43">
        <v>45327</v>
      </c>
      <c r="D29" s="44"/>
      <c r="E29" s="45" t="s">
        <v>187</v>
      </c>
      <c r="F29" s="61">
        <v>0</v>
      </c>
      <c r="G29" s="61">
        <v>1700</v>
      </c>
      <c r="H29" s="61">
        <v>800</v>
      </c>
      <c r="I29" s="61">
        <v>0</v>
      </c>
      <c r="J29" s="61">
        <v>0</v>
      </c>
      <c r="K29" s="61">
        <f t="shared" si="0"/>
        <v>2500</v>
      </c>
    </row>
    <row r="30" spans="1:11" x14ac:dyDescent="0.2">
      <c r="A30" s="8">
        <f t="shared" si="1"/>
        <v>45332</v>
      </c>
      <c r="B30" s="60">
        <v>11700</v>
      </c>
      <c r="C30" s="43">
        <v>45327</v>
      </c>
      <c r="D30" s="44"/>
      <c r="E30" s="48" t="s">
        <v>188</v>
      </c>
      <c r="F30" s="61">
        <v>0</v>
      </c>
      <c r="G30" s="61">
        <v>11300</v>
      </c>
      <c r="H30" s="61">
        <v>400</v>
      </c>
      <c r="I30" s="61">
        <v>0</v>
      </c>
      <c r="J30" s="61">
        <v>0</v>
      </c>
      <c r="K30" s="61">
        <f t="shared" si="0"/>
        <v>11700</v>
      </c>
    </row>
    <row r="31" spans="1:11" x14ac:dyDescent="0.2">
      <c r="A31" s="8">
        <f t="shared" si="1"/>
        <v>45283</v>
      </c>
      <c r="B31" s="60">
        <v>300</v>
      </c>
      <c r="C31" s="43">
        <v>45280</v>
      </c>
      <c r="D31" s="44"/>
      <c r="E31" s="48" t="s">
        <v>189</v>
      </c>
      <c r="F31" s="61">
        <v>100</v>
      </c>
      <c r="G31" s="61">
        <v>200</v>
      </c>
      <c r="H31" s="61">
        <v>0</v>
      </c>
      <c r="I31" s="61">
        <v>0</v>
      </c>
      <c r="J31" s="61">
        <v>0</v>
      </c>
      <c r="K31" s="61">
        <f t="shared" si="0"/>
        <v>300</v>
      </c>
    </row>
    <row r="32" spans="1:11" x14ac:dyDescent="0.2">
      <c r="A32" s="8">
        <f t="shared" si="1"/>
        <v>45332</v>
      </c>
      <c r="B32" s="60">
        <v>6600</v>
      </c>
      <c r="C32" s="43">
        <v>45327</v>
      </c>
      <c r="D32" s="44"/>
      <c r="E32" s="45" t="s">
        <v>190</v>
      </c>
      <c r="F32" s="61">
        <v>6600</v>
      </c>
      <c r="G32" s="61">
        <v>0</v>
      </c>
      <c r="H32" s="61">
        <v>0</v>
      </c>
      <c r="I32" s="61">
        <v>0</v>
      </c>
      <c r="J32" s="61">
        <v>0</v>
      </c>
      <c r="K32" s="61">
        <f t="shared" si="0"/>
        <v>6600</v>
      </c>
    </row>
    <row r="33" spans="1:11" x14ac:dyDescent="0.2">
      <c r="A33" s="8">
        <f t="shared" si="1"/>
        <v>45332</v>
      </c>
      <c r="B33" s="60">
        <v>3600</v>
      </c>
      <c r="C33" s="43">
        <v>45327</v>
      </c>
      <c r="D33" s="44"/>
      <c r="E33" s="45" t="s">
        <v>191</v>
      </c>
      <c r="F33" s="61">
        <v>0</v>
      </c>
      <c r="G33" s="61">
        <v>3400</v>
      </c>
      <c r="H33" s="61">
        <v>200</v>
      </c>
      <c r="I33" s="61">
        <v>0</v>
      </c>
      <c r="J33" s="61">
        <v>0</v>
      </c>
      <c r="K33" s="61">
        <f t="shared" si="0"/>
        <v>3600</v>
      </c>
    </row>
    <row r="34" spans="1:11" x14ac:dyDescent="0.2">
      <c r="A34" s="8">
        <f t="shared" si="1"/>
        <v>45332</v>
      </c>
      <c r="B34" s="60">
        <v>7500</v>
      </c>
      <c r="C34" s="43">
        <v>45327</v>
      </c>
      <c r="D34" s="44"/>
      <c r="E34" s="48" t="s">
        <v>192</v>
      </c>
      <c r="F34" s="61">
        <v>0</v>
      </c>
      <c r="G34" s="61">
        <v>7500</v>
      </c>
      <c r="H34" s="61">
        <v>0</v>
      </c>
      <c r="I34" s="61">
        <v>0</v>
      </c>
      <c r="J34" s="61">
        <v>0</v>
      </c>
      <c r="K34" s="61">
        <f t="shared" si="0"/>
        <v>7500</v>
      </c>
    </row>
    <row r="35" spans="1:11" x14ac:dyDescent="0.2">
      <c r="A35" s="8">
        <f t="shared" si="1"/>
        <v>45283</v>
      </c>
      <c r="B35" s="60">
        <v>5800</v>
      </c>
      <c r="C35" s="43">
        <v>45280</v>
      </c>
      <c r="D35" s="44"/>
      <c r="E35" s="45" t="s">
        <v>193</v>
      </c>
      <c r="F35" s="61">
        <v>0</v>
      </c>
      <c r="G35" s="61">
        <v>5800</v>
      </c>
      <c r="H35" s="61">
        <v>0</v>
      </c>
      <c r="I35" s="61">
        <v>0</v>
      </c>
      <c r="J35" s="61">
        <v>0</v>
      </c>
      <c r="K35" s="61">
        <f t="shared" si="0"/>
        <v>5800</v>
      </c>
    </row>
    <row r="36" spans="1:11" x14ac:dyDescent="0.2">
      <c r="A36" s="8">
        <f t="shared" si="1"/>
        <v>45332</v>
      </c>
      <c r="B36" s="60">
        <v>32000</v>
      </c>
      <c r="C36" s="43">
        <v>45327</v>
      </c>
      <c r="D36" s="44"/>
      <c r="E36" s="48" t="s">
        <v>194</v>
      </c>
      <c r="F36" s="61">
        <v>22800</v>
      </c>
      <c r="G36" s="61">
        <v>23100</v>
      </c>
      <c r="H36" s="61">
        <v>0</v>
      </c>
      <c r="I36" s="61">
        <v>0</v>
      </c>
      <c r="J36" s="61">
        <v>0</v>
      </c>
      <c r="K36" s="61">
        <f t="shared" si="0"/>
        <v>45900</v>
      </c>
    </row>
    <row r="37" spans="1:11" x14ac:dyDescent="0.2">
      <c r="A37" s="8">
        <f t="shared" si="1"/>
        <v>45332</v>
      </c>
      <c r="B37" s="60">
        <v>6800</v>
      </c>
      <c r="C37" s="43">
        <v>45327</v>
      </c>
      <c r="D37" s="44"/>
      <c r="E37" s="48" t="s">
        <v>195</v>
      </c>
      <c r="F37" s="61">
        <v>0</v>
      </c>
      <c r="G37" s="61">
        <v>6800</v>
      </c>
      <c r="H37" s="61">
        <v>0</v>
      </c>
      <c r="I37" s="61">
        <v>0</v>
      </c>
      <c r="J37" s="61">
        <v>0</v>
      </c>
      <c r="K37" s="61">
        <f t="shared" si="0"/>
        <v>6800</v>
      </c>
    </row>
    <row r="38" spans="1:11" x14ac:dyDescent="0.2">
      <c r="A38" s="8">
        <f t="shared" si="1"/>
        <v>45332</v>
      </c>
      <c r="B38" s="60">
        <v>2500</v>
      </c>
      <c r="C38" s="43">
        <v>45327</v>
      </c>
      <c r="D38" s="44"/>
      <c r="E38" s="45" t="s">
        <v>196</v>
      </c>
      <c r="F38" s="61">
        <v>0</v>
      </c>
      <c r="G38" s="61">
        <v>2500</v>
      </c>
      <c r="H38" s="61">
        <v>0</v>
      </c>
      <c r="I38" s="61">
        <v>0</v>
      </c>
      <c r="J38" s="61">
        <v>0</v>
      </c>
      <c r="K38" s="61">
        <f t="shared" si="0"/>
        <v>2500</v>
      </c>
    </row>
    <row r="39" spans="1:11" x14ac:dyDescent="0.2">
      <c r="A39" s="8">
        <f t="shared" si="1"/>
        <v>45332</v>
      </c>
      <c r="B39" s="60">
        <v>15700</v>
      </c>
      <c r="C39" s="43">
        <v>45327</v>
      </c>
      <c r="D39" s="44"/>
      <c r="E39" s="45" t="s">
        <v>197</v>
      </c>
      <c r="F39" s="61">
        <v>0</v>
      </c>
      <c r="G39" s="61">
        <v>15700</v>
      </c>
      <c r="H39" s="61">
        <v>0</v>
      </c>
      <c r="I39" s="61">
        <v>0</v>
      </c>
      <c r="J39" s="61">
        <v>0</v>
      </c>
      <c r="K39" s="61">
        <f t="shared" si="0"/>
        <v>15700</v>
      </c>
    </row>
    <row r="40" spans="1:11" x14ac:dyDescent="0.2">
      <c r="A40" s="8">
        <f t="shared" si="1"/>
        <v>45332</v>
      </c>
      <c r="B40" s="60">
        <v>30000</v>
      </c>
      <c r="C40" s="43">
        <v>45327</v>
      </c>
      <c r="D40" s="44"/>
      <c r="E40" s="45" t="s">
        <v>198</v>
      </c>
      <c r="F40" s="61">
        <v>1000</v>
      </c>
      <c r="G40" s="61">
        <v>0</v>
      </c>
      <c r="H40" s="61">
        <v>100</v>
      </c>
      <c r="I40" s="61">
        <v>0</v>
      </c>
      <c r="J40" s="61">
        <v>0</v>
      </c>
      <c r="K40" s="61">
        <f t="shared" si="0"/>
        <v>1100</v>
      </c>
    </row>
    <row r="41" spans="1:11" x14ac:dyDescent="0.2">
      <c r="A41" s="8">
        <f t="shared" si="1"/>
        <v>45332</v>
      </c>
      <c r="B41" s="60">
        <v>200</v>
      </c>
      <c r="C41" s="43">
        <v>45327</v>
      </c>
      <c r="D41" s="44"/>
      <c r="E41" s="45" t="s">
        <v>199</v>
      </c>
      <c r="F41" s="61">
        <v>0</v>
      </c>
      <c r="G41" s="61">
        <v>200</v>
      </c>
      <c r="H41" s="61">
        <v>0</v>
      </c>
      <c r="I41" s="61">
        <v>0</v>
      </c>
      <c r="J41" s="61">
        <v>0</v>
      </c>
      <c r="K41" s="61">
        <f t="shared" si="0"/>
        <v>200</v>
      </c>
    </row>
    <row r="42" spans="1:11" x14ac:dyDescent="0.2">
      <c r="A42" s="8">
        <f t="shared" si="1"/>
        <v>45283</v>
      </c>
      <c r="B42" s="60">
        <v>16500</v>
      </c>
      <c r="C42" s="43">
        <v>45280</v>
      </c>
      <c r="D42" s="44"/>
      <c r="E42" s="45" t="s">
        <v>200</v>
      </c>
      <c r="F42" s="61">
        <v>0</v>
      </c>
      <c r="G42" s="61">
        <v>16500</v>
      </c>
      <c r="H42" s="61">
        <v>0</v>
      </c>
      <c r="I42" s="61">
        <v>0</v>
      </c>
      <c r="J42" s="61">
        <v>0</v>
      </c>
      <c r="K42" s="61">
        <f t="shared" si="0"/>
        <v>16500</v>
      </c>
    </row>
    <row r="43" spans="1:11" x14ac:dyDescent="0.2">
      <c r="A43" s="8">
        <f t="shared" si="1"/>
        <v>45346</v>
      </c>
      <c r="B43" s="60">
        <v>90000</v>
      </c>
      <c r="C43" s="43">
        <v>45342</v>
      </c>
      <c r="D43" s="44"/>
      <c r="E43" s="47" t="s">
        <v>201</v>
      </c>
      <c r="F43" s="62">
        <v>0</v>
      </c>
      <c r="G43" s="62">
        <v>0</v>
      </c>
      <c r="H43" s="62">
        <v>0</v>
      </c>
      <c r="I43" s="62">
        <v>0</v>
      </c>
      <c r="J43" s="62">
        <v>0</v>
      </c>
      <c r="K43" s="62">
        <f t="shared" si="0"/>
        <v>0</v>
      </c>
    </row>
    <row r="44" spans="1:11" x14ac:dyDescent="0.2">
      <c r="A44" s="8">
        <f t="shared" si="1"/>
        <v>45276</v>
      </c>
      <c r="B44" s="60">
        <v>1800</v>
      </c>
      <c r="C44" s="43">
        <v>45275</v>
      </c>
      <c r="D44" s="44"/>
      <c r="E44" s="45" t="s">
        <v>202</v>
      </c>
      <c r="F44" s="61">
        <v>0</v>
      </c>
      <c r="G44" s="61">
        <v>0</v>
      </c>
      <c r="H44" s="61">
        <v>0</v>
      </c>
      <c r="I44" s="61">
        <v>0</v>
      </c>
      <c r="J44" s="61">
        <v>1800</v>
      </c>
      <c r="K44" s="61">
        <f t="shared" si="0"/>
        <v>1800</v>
      </c>
    </row>
    <row r="45" spans="1:11" x14ac:dyDescent="0.2">
      <c r="A45" s="8">
        <f t="shared" si="1"/>
        <v>45332</v>
      </c>
      <c r="B45" s="60">
        <v>800</v>
      </c>
      <c r="C45" s="43">
        <v>45327</v>
      </c>
      <c r="D45" s="44"/>
      <c r="E45" s="45" t="s">
        <v>203</v>
      </c>
      <c r="F45" s="61">
        <v>800</v>
      </c>
      <c r="G45" s="61">
        <v>0</v>
      </c>
      <c r="H45" s="61">
        <v>0</v>
      </c>
      <c r="I45" s="61">
        <v>0</v>
      </c>
      <c r="J45" s="61">
        <v>0</v>
      </c>
      <c r="K45" s="61">
        <f t="shared" si="0"/>
        <v>800</v>
      </c>
    </row>
    <row r="46" spans="1:11" x14ac:dyDescent="0.2">
      <c r="A46" s="8">
        <f t="shared" si="1"/>
        <v>45332</v>
      </c>
      <c r="B46" s="57">
        <v>0</v>
      </c>
      <c r="C46" s="49">
        <v>45327</v>
      </c>
      <c r="D46" s="50"/>
      <c r="E46" s="51" t="s">
        <v>204</v>
      </c>
      <c r="F46" s="58">
        <v>0</v>
      </c>
      <c r="G46" s="58">
        <v>0</v>
      </c>
      <c r="H46" s="58">
        <v>0</v>
      </c>
      <c r="I46" s="58">
        <v>0</v>
      </c>
      <c r="J46" s="58">
        <v>0</v>
      </c>
      <c r="K46" s="58">
        <f t="shared" si="0"/>
        <v>0</v>
      </c>
    </row>
  </sheetData>
  <autoFilter ref="A2:K2" xr:uid="{30F2C75E-1976-4485-BE04-D9A8BFBAA1C3}"/>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6A1CD-9128-46ED-8111-908F716DA863}">
  <sheetPr>
    <tabColor theme="0" tint="-0.249977111117893"/>
  </sheetPr>
  <dimension ref="A1:P46"/>
  <sheetViews>
    <sheetView showGridLines="0" zoomScaleNormal="100" workbookViewId="0">
      <pane ySplit="2" topLeftCell="A10" activePane="bottomLeft" state="frozen"/>
      <selection activeCell="Q25" sqref="Q25"/>
      <selection pane="bottomLeft"/>
    </sheetView>
  </sheetViews>
  <sheetFormatPr defaultRowHeight="12.75" x14ac:dyDescent="0.2"/>
  <cols>
    <col min="1" max="1" width="12" style="7" bestFit="1" customWidth="1"/>
    <col min="2" max="10" width="15.7109375" style="7" customWidth="1"/>
    <col min="11" max="16384" width="9.140625" style="7"/>
  </cols>
  <sheetData>
    <row r="1" spans="1:16" ht="15" x14ac:dyDescent="0.35">
      <c r="A1" s="71"/>
      <c r="B1" s="71" t="s">
        <v>155</v>
      </c>
      <c r="C1" s="71"/>
      <c r="D1" s="71" t="s">
        <v>205</v>
      </c>
      <c r="E1" s="71"/>
      <c r="F1" s="71"/>
      <c r="G1" s="71"/>
      <c r="H1" s="71"/>
      <c r="I1" s="71"/>
      <c r="J1" s="71"/>
    </row>
    <row r="2" spans="1:16" x14ac:dyDescent="0.2">
      <c r="A2" s="72" t="s">
        <v>37</v>
      </c>
      <c r="B2" s="72" t="s">
        <v>157</v>
      </c>
      <c r="C2" s="72" t="s">
        <v>158</v>
      </c>
      <c r="D2" s="73" t="s">
        <v>206</v>
      </c>
      <c r="E2" s="72" t="s">
        <v>161</v>
      </c>
      <c r="F2" s="72" t="s">
        <v>162</v>
      </c>
      <c r="G2" s="72" t="s">
        <v>163</v>
      </c>
      <c r="H2" s="72" t="s">
        <v>164</v>
      </c>
      <c r="I2" s="72" t="s">
        <v>165</v>
      </c>
      <c r="J2" s="72" t="s">
        <v>166</v>
      </c>
    </row>
    <row r="3" spans="1:16" x14ac:dyDescent="0.2">
      <c r="A3" s="8">
        <f>C3+7-WEEKDAY(C3)</f>
        <v>45283</v>
      </c>
      <c r="B3" s="57">
        <v>65900</v>
      </c>
      <c r="C3" s="49">
        <v>45280</v>
      </c>
      <c r="D3" s="51" t="s">
        <v>207</v>
      </c>
      <c r="E3" s="58">
        <v>65900</v>
      </c>
      <c r="F3" s="58">
        <v>0</v>
      </c>
      <c r="G3" s="58">
        <v>0</v>
      </c>
      <c r="H3" s="58">
        <v>0</v>
      </c>
      <c r="I3" s="58">
        <v>0</v>
      </c>
      <c r="J3" s="58">
        <f t="shared" ref="J3:J46" si="0">SUM(E3:I3)</f>
        <v>65900</v>
      </c>
      <c r="L3" s="46"/>
      <c r="M3" s="46"/>
      <c r="N3" s="46"/>
      <c r="O3" s="46"/>
      <c r="P3" s="46"/>
    </row>
    <row r="4" spans="1:16" x14ac:dyDescent="0.2">
      <c r="A4" s="8">
        <f t="shared" ref="A4:A46" si="1">C4+7-WEEKDAY(C4)</f>
        <v>45311</v>
      </c>
      <c r="B4" s="57">
        <v>75000</v>
      </c>
      <c r="C4" s="49">
        <v>45311</v>
      </c>
      <c r="D4" s="52" t="s">
        <v>207</v>
      </c>
      <c r="E4" s="59">
        <v>0</v>
      </c>
      <c r="F4" s="59">
        <v>0</v>
      </c>
      <c r="G4" s="59">
        <v>0</v>
      </c>
      <c r="H4" s="59">
        <v>0</v>
      </c>
      <c r="I4" s="59">
        <v>0</v>
      </c>
      <c r="J4" s="59">
        <f t="shared" si="0"/>
        <v>0</v>
      </c>
      <c r="L4" s="46"/>
      <c r="M4" s="46"/>
      <c r="N4" s="46"/>
      <c r="O4" s="46"/>
      <c r="P4" s="46"/>
    </row>
    <row r="5" spans="1:16" x14ac:dyDescent="0.2">
      <c r="A5" s="8">
        <f t="shared" si="1"/>
        <v>45346</v>
      </c>
      <c r="B5" s="57">
        <v>100000</v>
      </c>
      <c r="C5" s="49">
        <v>45342</v>
      </c>
      <c r="D5" s="52" t="s">
        <v>207</v>
      </c>
      <c r="E5" s="59">
        <v>0</v>
      </c>
      <c r="F5" s="59">
        <v>0</v>
      </c>
      <c r="G5" s="59">
        <v>0</v>
      </c>
      <c r="H5" s="59">
        <v>0</v>
      </c>
      <c r="I5" s="59">
        <v>0</v>
      </c>
      <c r="J5" s="59">
        <f t="shared" si="0"/>
        <v>0</v>
      </c>
      <c r="L5" s="46"/>
      <c r="M5" s="46"/>
      <c r="N5" s="46"/>
      <c r="O5" s="46"/>
      <c r="P5" s="46"/>
    </row>
    <row r="6" spans="1:16" x14ac:dyDescent="0.2">
      <c r="A6" s="8">
        <f t="shared" si="1"/>
        <v>45269</v>
      </c>
      <c r="B6" s="57">
        <v>225000</v>
      </c>
      <c r="C6" s="49">
        <v>45269</v>
      </c>
      <c r="D6" s="51" t="s">
        <v>208</v>
      </c>
      <c r="E6" s="58">
        <v>0</v>
      </c>
      <c r="F6" s="58">
        <v>240300</v>
      </c>
      <c r="G6" s="58">
        <v>25000</v>
      </c>
      <c r="H6" s="58">
        <v>16700</v>
      </c>
      <c r="I6" s="58">
        <v>0</v>
      </c>
      <c r="J6" s="58">
        <f t="shared" si="0"/>
        <v>282000</v>
      </c>
      <c r="L6" s="46"/>
      <c r="M6" s="46"/>
      <c r="N6" s="46"/>
      <c r="O6" s="46"/>
      <c r="P6" s="46"/>
    </row>
    <row r="7" spans="1:16" x14ac:dyDescent="0.2">
      <c r="A7" s="8">
        <f t="shared" si="1"/>
        <v>0</v>
      </c>
      <c r="B7" s="57"/>
      <c r="C7" s="49"/>
      <c r="D7" s="51" t="s">
        <v>209</v>
      </c>
      <c r="E7" s="58">
        <v>0</v>
      </c>
      <c r="F7" s="58">
        <v>0</v>
      </c>
      <c r="G7" s="58">
        <v>0</v>
      </c>
      <c r="H7" s="58">
        <v>0</v>
      </c>
      <c r="I7" s="58">
        <v>7000</v>
      </c>
      <c r="J7" s="58">
        <f t="shared" si="0"/>
        <v>7000</v>
      </c>
      <c r="L7" s="46"/>
      <c r="M7" s="46"/>
      <c r="N7" s="46"/>
      <c r="O7" s="46"/>
      <c r="P7" s="46"/>
    </row>
    <row r="8" spans="1:16" x14ac:dyDescent="0.2">
      <c r="A8" s="8">
        <f t="shared" si="1"/>
        <v>45297</v>
      </c>
      <c r="B8" s="57">
        <v>100000</v>
      </c>
      <c r="C8" s="49">
        <v>45291</v>
      </c>
      <c r="D8" s="51" t="s">
        <v>210</v>
      </c>
      <c r="E8" s="58">
        <v>48900</v>
      </c>
      <c r="F8" s="58">
        <v>101900</v>
      </c>
      <c r="G8" s="58">
        <v>1400</v>
      </c>
      <c r="H8" s="58">
        <v>0</v>
      </c>
      <c r="I8" s="58">
        <v>0</v>
      </c>
      <c r="J8" s="58">
        <f t="shared" si="0"/>
        <v>152200</v>
      </c>
      <c r="L8" s="46"/>
      <c r="M8" s="46"/>
      <c r="N8" s="46"/>
      <c r="O8" s="46"/>
      <c r="P8" s="46"/>
    </row>
    <row r="9" spans="1:16" x14ac:dyDescent="0.2">
      <c r="A9" s="8">
        <f t="shared" si="1"/>
        <v>45325</v>
      </c>
      <c r="B9" s="57">
        <v>48000</v>
      </c>
      <c r="C9" s="49">
        <v>45321</v>
      </c>
      <c r="D9" s="53" t="s">
        <v>210</v>
      </c>
      <c r="E9" s="59">
        <v>0</v>
      </c>
      <c r="F9" s="59">
        <v>0</v>
      </c>
      <c r="G9" s="59">
        <v>0</v>
      </c>
      <c r="H9" s="59">
        <v>0</v>
      </c>
      <c r="I9" s="59">
        <v>0</v>
      </c>
      <c r="J9" s="59">
        <f t="shared" si="0"/>
        <v>0</v>
      </c>
      <c r="L9" s="46"/>
      <c r="M9" s="46"/>
      <c r="N9" s="46"/>
      <c r="O9" s="46"/>
      <c r="P9" s="46"/>
    </row>
    <row r="10" spans="1:16" x14ac:dyDescent="0.2">
      <c r="A10" s="8">
        <f t="shared" si="1"/>
        <v>45290</v>
      </c>
      <c r="B10" s="57">
        <v>80000</v>
      </c>
      <c r="C10" s="49">
        <v>45285</v>
      </c>
      <c r="D10" s="51" t="s">
        <v>211</v>
      </c>
      <c r="E10" s="58">
        <v>0</v>
      </c>
      <c r="F10" s="58">
        <v>83200</v>
      </c>
      <c r="G10" s="58">
        <v>68200</v>
      </c>
      <c r="H10" s="58">
        <v>18000</v>
      </c>
      <c r="I10" s="58">
        <v>21200</v>
      </c>
      <c r="J10" s="58">
        <f t="shared" si="0"/>
        <v>190600</v>
      </c>
      <c r="L10" s="46"/>
      <c r="M10" s="46"/>
      <c r="N10" s="46"/>
      <c r="O10" s="46"/>
      <c r="P10" s="46"/>
    </row>
    <row r="11" spans="1:16" x14ac:dyDescent="0.2">
      <c r="A11" s="8">
        <f t="shared" si="1"/>
        <v>45318</v>
      </c>
      <c r="B11" s="57">
        <v>80000</v>
      </c>
      <c r="C11" s="49">
        <v>45316</v>
      </c>
      <c r="D11" s="53" t="s">
        <v>211</v>
      </c>
      <c r="E11" s="59">
        <v>0</v>
      </c>
      <c r="F11" s="59">
        <v>0</v>
      </c>
      <c r="G11" s="59">
        <v>0</v>
      </c>
      <c r="H11" s="59">
        <v>0</v>
      </c>
      <c r="I11" s="59">
        <v>0</v>
      </c>
      <c r="J11" s="59">
        <f t="shared" si="0"/>
        <v>0</v>
      </c>
      <c r="L11" s="46"/>
      <c r="M11" s="46"/>
      <c r="N11" s="46"/>
      <c r="O11" s="46"/>
      <c r="P11" s="46"/>
    </row>
    <row r="12" spans="1:16" x14ac:dyDescent="0.2">
      <c r="A12" s="8">
        <f t="shared" si="1"/>
        <v>45283</v>
      </c>
      <c r="B12" s="57">
        <v>150000</v>
      </c>
      <c r="C12" s="49">
        <v>45280</v>
      </c>
      <c r="D12" s="54" t="s">
        <v>212</v>
      </c>
      <c r="E12" s="58">
        <v>150000</v>
      </c>
      <c r="F12" s="58">
        <v>0</v>
      </c>
      <c r="G12" s="58">
        <v>0</v>
      </c>
      <c r="H12" s="58">
        <v>0</v>
      </c>
      <c r="I12" s="58">
        <v>0</v>
      </c>
      <c r="J12" s="58">
        <f t="shared" si="0"/>
        <v>150000</v>
      </c>
      <c r="L12" s="46"/>
      <c r="M12" s="46"/>
      <c r="N12" s="46"/>
      <c r="O12" s="46"/>
      <c r="P12" s="46"/>
    </row>
    <row r="13" spans="1:16" x14ac:dyDescent="0.2">
      <c r="A13" s="8">
        <f t="shared" si="1"/>
        <v>0</v>
      </c>
      <c r="B13" s="57"/>
      <c r="C13" s="49"/>
      <c r="D13" s="51" t="s">
        <v>178</v>
      </c>
      <c r="E13" s="58">
        <v>0</v>
      </c>
      <c r="F13" s="58">
        <v>0</v>
      </c>
      <c r="G13" s="58">
        <v>0</v>
      </c>
      <c r="H13" s="58">
        <v>0</v>
      </c>
      <c r="I13" s="58">
        <v>500</v>
      </c>
      <c r="J13" s="58">
        <f t="shared" si="0"/>
        <v>500</v>
      </c>
      <c r="L13" s="46"/>
      <c r="M13" s="46"/>
      <c r="N13" s="46"/>
      <c r="O13" s="46"/>
      <c r="P13" s="46"/>
    </row>
    <row r="14" spans="1:16" x14ac:dyDescent="0.2">
      <c r="A14" s="8">
        <f>C14+7-WEEKDAY(C14)</f>
        <v>0</v>
      </c>
      <c r="B14" s="57"/>
      <c r="C14" s="49"/>
      <c r="D14" s="51" t="s">
        <v>213</v>
      </c>
      <c r="E14" s="58">
        <v>0</v>
      </c>
      <c r="F14" s="58">
        <v>0</v>
      </c>
      <c r="G14" s="58">
        <v>0</v>
      </c>
      <c r="H14" s="58">
        <v>0</v>
      </c>
      <c r="I14" s="58">
        <v>500</v>
      </c>
      <c r="J14" s="58">
        <f t="shared" si="0"/>
        <v>500</v>
      </c>
      <c r="L14" s="46"/>
      <c r="M14" s="46"/>
      <c r="N14" s="46"/>
      <c r="O14" s="46"/>
      <c r="P14" s="46"/>
    </row>
    <row r="15" spans="1:16" x14ac:dyDescent="0.2">
      <c r="A15" s="8">
        <f t="shared" si="1"/>
        <v>0</v>
      </c>
      <c r="B15" s="57"/>
      <c r="C15" s="49"/>
      <c r="D15" s="54" t="s">
        <v>214</v>
      </c>
      <c r="E15" s="58">
        <v>0</v>
      </c>
      <c r="F15" s="58">
        <v>0</v>
      </c>
      <c r="G15" s="58">
        <v>0</v>
      </c>
      <c r="H15" s="58">
        <v>0</v>
      </c>
      <c r="I15" s="58">
        <v>7500</v>
      </c>
      <c r="J15" s="58">
        <f t="shared" si="0"/>
        <v>7500</v>
      </c>
      <c r="L15" s="46"/>
      <c r="M15" s="46"/>
      <c r="N15" s="46"/>
      <c r="O15" s="46"/>
      <c r="P15" s="46"/>
    </row>
    <row r="16" spans="1:16" x14ac:dyDescent="0.2">
      <c r="A16" s="8">
        <f t="shared" si="1"/>
        <v>45283</v>
      </c>
      <c r="B16" s="57">
        <v>43800</v>
      </c>
      <c r="C16" s="49">
        <v>45280</v>
      </c>
      <c r="D16" s="54" t="s">
        <v>215</v>
      </c>
      <c r="E16" s="58">
        <v>0</v>
      </c>
      <c r="F16" s="58">
        <v>43800</v>
      </c>
      <c r="G16" s="58">
        <v>0</v>
      </c>
      <c r="H16" s="58">
        <v>12700</v>
      </c>
      <c r="I16" s="58">
        <v>0</v>
      </c>
      <c r="J16" s="58">
        <f t="shared" si="0"/>
        <v>56500</v>
      </c>
      <c r="L16" s="46"/>
      <c r="M16" s="46"/>
      <c r="N16" s="46"/>
      <c r="O16" s="46"/>
      <c r="P16" s="46"/>
    </row>
    <row r="17" spans="1:16" x14ac:dyDescent="0.2">
      <c r="A17" s="8">
        <f t="shared" si="1"/>
        <v>0</v>
      </c>
      <c r="B17" s="57"/>
      <c r="C17" s="49"/>
      <c r="D17" s="51" t="s">
        <v>216</v>
      </c>
      <c r="E17" s="58">
        <v>0</v>
      </c>
      <c r="F17" s="58">
        <v>0</v>
      </c>
      <c r="G17" s="58">
        <v>0</v>
      </c>
      <c r="H17" s="58">
        <v>0</v>
      </c>
      <c r="I17" s="58">
        <v>900</v>
      </c>
      <c r="J17" s="58">
        <f t="shared" si="0"/>
        <v>900</v>
      </c>
      <c r="L17" s="46"/>
      <c r="M17" s="46"/>
      <c r="N17" s="46"/>
      <c r="O17" s="46"/>
      <c r="P17" s="46"/>
    </row>
    <row r="18" spans="1:16" x14ac:dyDescent="0.2">
      <c r="A18" s="8">
        <f t="shared" si="1"/>
        <v>0</v>
      </c>
      <c r="B18" s="57"/>
      <c r="C18" s="49"/>
      <c r="D18" s="54" t="s">
        <v>217</v>
      </c>
      <c r="E18" s="58">
        <v>0</v>
      </c>
      <c r="F18" s="58">
        <v>0</v>
      </c>
      <c r="G18" s="58">
        <v>0</v>
      </c>
      <c r="H18" s="58">
        <v>15100</v>
      </c>
      <c r="I18" s="58">
        <v>0</v>
      </c>
      <c r="J18" s="58">
        <f t="shared" si="0"/>
        <v>15100</v>
      </c>
      <c r="L18" s="46"/>
      <c r="M18" s="46"/>
      <c r="N18" s="46"/>
      <c r="O18" s="46"/>
      <c r="P18" s="46"/>
    </row>
    <row r="19" spans="1:16" x14ac:dyDescent="0.2">
      <c r="A19" s="8">
        <f t="shared" si="1"/>
        <v>0</v>
      </c>
      <c r="B19" s="57"/>
      <c r="C19" s="49"/>
      <c r="D19" s="51" t="s">
        <v>218</v>
      </c>
      <c r="E19" s="58">
        <v>0</v>
      </c>
      <c r="F19" s="58">
        <v>0</v>
      </c>
      <c r="G19" s="58">
        <v>0</v>
      </c>
      <c r="H19" s="58">
        <v>0</v>
      </c>
      <c r="I19" s="58">
        <v>1000</v>
      </c>
      <c r="J19" s="58">
        <f t="shared" si="0"/>
        <v>1000</v>
      </c>
      <c r="L19" s="46"/>
      <c r="M19" s="46"/>
      <c r="N19" s="46"/>
      <c r="O19" s="46"/>
      <c r="P19" s="46"/>
    </row>
    <row r="20" spans="1:16" x14ac:dyDescent="0.2">
      <c r="A20" s="8">
        <f t="shared" si="1"/>
        <v>0</v>
      </c>
      <c r="B20" s="57"/>
      <c r="C20" s="49"/>
      <c r="D20" s="51" t="s">
        <v>219</v>
      </c>
      <c r="E20" s="58">
        <v>0</v>
      </c>
      <c r="F20" s="58">
        <v>0</v>
      </c>
      <c r="G20" s="58">
        <v>0</v>
      </c>
      <c r="H20" s="58">
        <v>0</v>
      </c>
      <c r="I20" s="58">
        <v>700</v>
      </c>
      <c r="J20" s="58">
        <f t="shared" si="0"/>
        <v>700</v>
      </c>
      <c r="L20" s="46"/>
      <c r="M20" s="46"/>
      <c r="N20" s="46"/>
      <c r="O20" s="46"/>
      <c r="P20" s="46"/>
    </row>
    <row r="21" spans="1:16" x14ac:dyDescent="0.2">
      <c r="A21" s="8">
        <f t="shared" si="1"/>
        <v>0</v>
      </c>
      <c r="B21" s="57"/>
      <c r="C21" s="49"/>
      <c r="D21" s="51" t="s">
        <v>220</v>
      </c>
      <c r="E21" s="58">
        <v>0</v>
      </c>
      <c r="F21" s="58">
        <v>0</v>
      </c>
      <c r="G21" s="58">
        <v>0</v>
      </c>
      <c r="H21" s="58">
        <v>0</v>
      </c>
      <c r="I21" s="58">
        <v>1000</v>
      </c>
      <c r="J21" s="58">
        <f t="shared" si="0"/>
        <v>1000</v>
      </c>
      <c r="L21" s="46"/>
      <c r="M21" s="46"/>
      <c r="N21" s="46"/>
      <c r="O21" s="46"/>
      <c r="P21" s="46"/>
    </row>
    <row r="22" spans="1:16" x14ac:dyDescent="0.2">
      <c r="A22" s="8">
        <f t="shared" si="1"/>
        <v>45339</v>
      </c>
      <c r="B22" s="57">
        <v>250000</v>
      </c>
      <c r="C22" s="49">
        <v>45337</v>
      </c>
      <c r="D22" s="55" t="s">
        <v>221</v>
      </c>
      <c r="E22" s="59">
        <v>0</v>
      </c>
      <c r="F22" s="59">
        <v>0</v>
      </c>
      <c r="G22" s="59">
        <v>0</v>
      </c>
      <c r="H22" s="59">
        <v>0</v>
      </c>
      <c r="I22" s="59">
        <v>0</v>
      </c>
      <c r="J22" s="59">
        <f t="shared" si="0"/>
        <v>0</v>
      </c>
      <c r="L22" s="46"/>
      <c r="M22" s="46"/>
      <c r="N22" s="46"/>
      <c r="O22" s="46"/>
      <c r="P22" s="46"/>
    </row>
    <row r="23" spans="1:16" x14ac:dyDescent="0.2">
      <c r="A23" s="8">
        <f t="shared" si="1"/>
        <v>0</v>
      </c>
      <c r="B23" s="57"/>
      <c r="C23" s="49"/>
      <c r="D23" s="54" t="s">
        <v>222</v>
      </c>
      <c r="E23" s="58">
        <v>0</v>
      </c>
      <c r="F23" s="58">
        <v>0</v>
      </c>
      <c r="G23" s="58">
        <v>0</v>
      </c>
      <c r="H23" s="58">
        <v>0</v>
      </c>
      <c r="I23" s="58">
        <v>900</v>
      </c>
      <c r="J23" s="58">
        <f t="shared" si="0"/>
        <v>900</v>
      </c>
      <c r="L23" s="46"/>
      <c r="M23" s="46"/>
      <c r="N23" s="46"/>
      <c r="O23" s="46"/>
      <c r="P23" s="46"/>
    </row>
    <row r="24" spans="1:16" x14ac:dyDescent="0.2">
      <c r="A24" s="8">
        <f t="shared" si="1"/>
        <v>0</v>
      </c>
      <c r="B24" s="57"/>
      <c r="C24" s="49"/>
      <c r="D24" s="54" t="s">
        <v>223</v>
      </c>
      <c r="E24" s="58">
        <v>0</v>
      </c>
      <c r="F24" s="58">
        <v>0</v>
      </c>
      <c r="G24" s="58">
        <v>0</v>
      </c>
      <c r="H24" s="58">
        <v>0</v>
      </c>
      <c r="I24" s="58">
        <v>500</v>
      </c>
      <c r="J24" s="58">
        <f t="shared" si="0"/>
        <v>500</v>
      </c>
      <c r="L24" s="46"/>
      <c r="M24" s="46"/>
      <c r="N24" s="46"/>
      <c r="O24" s="46"/>
      <c r="P24" s="46"/>
    </row>
    <row r="25" spans="1:16" x14ac:dyDescent="0.2">
      <c r="A25" s="8">
        <f t="shared" si="1"/>
        <v>45276</v>
      </c>
      <c r="B25" s="57">
        <v>120000</v>
      </c>
      <c r="C25" s="49">
        <v>45275</v>
      </c>
      <c r="D25" s="54" t="s">
        <v>224</v>
      </c>
      <c r="E25" s="58">
        <v>0</v>
      </c>
      <c r="F25" s="58">
        <v>132800</v>
      </c>
      <c r="G25" s="58">
        <v>8400</v>
      </c>
      <c r="H25" s="58">
        <v>1500</v>
      </c>
      <c r="I25" s="58">
        <v>90500</v>
      </c>
      <c r="J25" s="58">
        <f t="shared" si="0"/>
        <v>233200</v>
      </c>
      <c r="L25" s="46"/>
      <c r="M25" s="46"/>
      <c r="N25" s="46"/>
      <c r="O25" s="46"/>
      <c r="P25" s="46"/>
    </row>
    <row r="26" spans="1:16" x14ac:dyDescent="0.2">
      <c r="A26" s="8">
        <f t="shared" si="1"/>
        <v>45311</v>
      </c>
      <c r="B26" s="57">
        <v>80000</v>
      </c>
      <c r="C26" s="49">
        <v>45306</v>
      </c>
      <c r="D26" s="53" t="s">
        <v>224</v>
      </c>
      <c r="E26" s="59">
        <v>0</v>
      </c>
      <c r="F26" s="59">
        <v>0</v>
      </c>
      <c r="G26" s="59">
        <v>0</v>
      </c>
      <c r="H26" s="59">
        <v>0</v>
      </c>
      <c r="I26" s="59">
        <v>0</v>
      </c>
      <c r="J26" s="59">
        <f t="shared" si="0"/>
        <v>0</v>
      </c>
      <c r="L26" s="46"/>
      <c r="M26" s="46"/>
      <c r="N26" s="46"/>
      <c r="O26" s="46"/>
      <c r="P26" s="46"/>
    </row>
    <row r="27" spans="1:16" x14ac:dyDescent="0.2">
      <c r="A27" s="8">
        <f t="shared" si="1"/>
        <v>0</v>
      </c>
      <c r="B27" s="57"/>
      <c r="C27" s="49"/>
      <c r="D27" s="54" t="s">
        <v>225</v>
      </c>
      <c r="E27" s="58">
        <v>0</v>
      </c>
      <c r="F27" s="58">
        <v>0</v>
      </c>
      <c r="G27" s="58">
        <v>0</v>
      </c>
      <c r="H27" s="58">
        <v>0</v>
      </c>
      <c r="I27" s="58">
        <v>23200</v>
      </c>
      <c r="J27" s="58">
        <f t="shared" si="0"/>
        <v>23200</v>
      </c>
      <c r="L27" s="46"/>
      <c r="M27" s="46"/>
      <c r="N27" s="46"/>
      <c r="O27" s="46"/>
      <c r="P27" s="46"/>
    </row>
    <row r="28" spans="1:16" x14ac:dyDescent="0.2">
      <c r="A28" s="8">
        <f t="shared" si="1"/>
        <v>0</v>
      </c>
      <c r="B28" s="57"/>
      <c r="C28" s="49"/>
      <c r="D28" s="51" t="s">
        <v>226</v>
      </c>
      <c r="E28" s="58">
        <v>0</v>
      </c>
      <c r="F28" s="58">
        <v>0</v>
      </c>
      <c r="G28" s="58">
        <v>0</v>
      </c>
      <c r="H28" s="58">
        <v>0</v>
      </c>
      <c r="I28" s="58">
        <v>14000</v>
      </c>
      <c r="J28" s="58">
        <f t="shared" si="0"/>
        <v>14000</v>
      </c>
      <c r="L28" s="46"/>
      <c r="M28" s="46"/>
      <c r="N28" s="46"/>
      <c r="O28" s="46"/>
      <c r="P28" s="46"/>
    </row>
    <row r="29" spans="1:16" x14ac:dyDescent="0.2">
      <c r="A29" s="8">
        <f t="shared" si="1"/>
        <v>0</v>
      </c>
      <c r="B29" s="57"/>
      <c r="C29" s="49"/>
      <c r="D29" s="51" t="s">
        <v>227</v>
      </c>
      <c r="E29" s="58">
        <v>0</v>
      </c>
      <c r="F29" s="58">
        <v>0</v>
      </c>
      <c r="G29" s="58">
        <v>0</v>
      </c>
      <c r="H29" s="58">
        <v>0</v>
      </c>
      <c r="I29" s="58">
        <v>0</v>
      </c>
      <c r="J29" s="58">
        <f t="shared" si="0"/>
        <v>0</v>
      </c>
      <c r="L29" s="46"/>
      <c r="M29" s="46"/>
      <c r="N29" s="46"/>
      <c r="O29" s="46"/>
      <c r="P29" s="46"/>
    </row>
    <row r="30" spans="1:16" x14ac:dyDescent="0.2">
      <c r="A30" s="8">
        <f t="shared" si="1"/>
        <v>45325</v>
      </c>
      <c r="B30" s="57">
        <v>150000</v>
      </c>
      <c r="C30" s="49">
        <v>45321</v>
      </c>
      <c r="D30" s="56" t="s">
        <v>228</v>
      </c>
      <c r="E30" s="58">
        <v>0</v>
      </c>
      <c r="F30" s="58">
        <v>0</v>
      </c>
      <c r="G30" s="58">
        <v>0</v>
      </c>
      <c r="H30" s="58">
        <v>0</v>
      </c>
      <c r="I30" s="58">
        <v>150000</v>
      </c>
      <c r="J30" s="58">
        <f t="shared" si="0"/>
        <v>150000</v>
      </c>
      <c r="L30" s="46"/>
      <c r="M30" s="46"/>
      <c r="N30" s="46"/>
      <c r="O30" s="46"/>
      <c r="P30" s="46"/>
    </row>
    <row r="31" spans="1:16" x14ac:dyDescent="0.2">
      <c r="A31" s="8">
        <f t="shared" si="1"/>
        <v>45283</v>
      </c>
      <c r="B31" s="57">
        <v>30700</v>
      </c>
      <c r="C31" s="49">
        <v>45280</v>
      </c>
      <c r="D31" s="51" t="s">
        <v>229</v>
      </c>
      <c r="E31" s="58">
        <v>30700</v>
      </c>
      <c r="F31" s="58">
        <v>0</v>
      </c>
      <c r="G31" s="58">
        <v>0</v>
      </c>
      <c r="H31" s="58">
        <v>0</v>
      </c>
      <c r="I31" s="58">
        <v>0</v>
      </c>
      <c r="J31" s="58">
        <f t="shared" si="0"/>
        <v>30700</v>
      </c>
      <c r="L31" s="46"/>
      <c r="M31" s="46"/>
      <c r="N31" s="46"/>
      <c r="O31" s="46"/>
      <c r="P31" s="46"/>
    </row>
    <row r="32" spans="1:16" x14ac:dyDescent="0.2">
      <c r="A32" s="8">
        <f t="shared" si="1"/>
        <v>45269</v>
      </c>
      <c r="B32" s="57">
        <v>105000</v>
      </c>
      <c r="C32" s="49">
        <v>45264</v>
      </c>
      <c r="D32" s="51" t="s">
        <v>230</v>
      </c>
      <c r="E32" s="58">
        <v>0</v>
      </c>
      <c r="F32" s="58">
        <v>900</v>
      </c>
      <c r="G32" s="58">
        <v>1000</v>
      </c>
      <c r="H32" s="58">
        <v>2000</v>
      </c>
      <c r="I32" s="58">
        <v>2600</v>
      </c>
      <c r="J32" s="58">
        <f t="shared" si="0"/>
        <v>6500</v>
      </c>
      <c r="L32" s="46"/>
      <c r="M32" s="46"/>
      <c r="N32" s="46"/>
      <c r="O32" s="46"/>
      <c r="P32" s="46"/>
    </row>
    <row r="33" spans="1:16" x14ac:dyDescent="0.2">
      <c r="A33" s="8">
        <f t="shared" si="1"/>
        <v>45283</v>
      </c>
      <c r="B33" s="57">
        <v>38500</v>
      </c>
      <c r="C33" s="49">
        <v>45280</v>
      </c>
      <c r="D33" s="51" t="s">
        <v>231</v>
      </c>
      <c r="E33" s="58">
        <v>27000</v>
      </c>
      <c r="F33" s="58">
        <v>0</v>
      </c>
      <c r="G33" s="58">
        <v>11500</v>
      </c>
      <c r="H33" s="58">
        <v>0</v>
      </c>
      <c r="I33" s="58">
        <v>0</v>
      </c>
      <c r="J33" s="58">
        <f t="shared" si="0"/>
        <v>38500</v>
      </c>
      <c r="L33" s="46"/>
      <c r="M33" s="46"/>
      <c r="N33" s="46"/>
      <c r="O33" s="46"/>
      <c r="P33" s="46"/>
    </row>
    <row r="34" spans="1:16" x14ac:dyDescent="0.2">
      <c r="A34" s="8">
        <f t="shared" si="1"/>
        <v>0</v>
      </c>
      <c r="B34" s="57"/>
      <c r="C34" s="49"/>
      <c r="D34" s="51" t="s">
        <v>232</v>
      </c>
      <c r="E34" s="58">
        <v>0</v>
      </c>
      <c r="F34" s="58">
        <v>0</v>
      </c>
      <c r="G34" s="58">
        <v>0</v>
      </c>
      <c r="H34" s="58">
        <v>0</v>
      </c>
      <c r="I34" s="58">
        <v>29600</v>
      </c>
      <c r="J34" s="58">
        <f t="shared" si="0"/>
        <v>29600</v>
      </c>
      <c r="L34" s="46"/>
      <c r="M34" s="46"/>
      <c r="N34" s="46"/>
      <c r="O34" s="46"/>
      <c r="P34" s="46"/>
    </row>
    <row r="35" spans="1:16" x14ac:dyDescent="0.2">
      <c r="A35" s="8">
        <f t="shared" si="1"/>
        <v>0</v>
      </c>
      <c r="B35" s="57"/>
      <c r="C35" s="49"/>
      <c r="D35" s="51" t="s">
        <v>233</v>
      </c>
      <c r="E35" s="58">
        <v>0</v>
      </c>
      <c r="F35" s="58">
        <v>0</v>
      </c>
      <c r="G35" s="58">
        <v>0</v>
      </c>
      <c r="H35" s="58">
        <v>0</v>
      </c>
      <c r="I35" s="58">
        <v>0</v>
      </c>
      <c r="J35" s="58">
        <f t="shared" si="0"/>
        <v>0</v>
      </c>
      <c r="L35" s="46"/>
      <c r="M35" s="46"/>
      <c r="N35" s="46"/>
      <c r="O35" s="46"/>
      <c r="P35" s="46"/>
    </row>
    <row r="36" spans="1:16" x14ac:dyDescent="0.2">
      <c r="A36" s="8">
        <f t="shared" si="1"/>
        <v>45311</v>
      </c>
      <c r="B36" s="57">
        <v>50000</v>
      </c>
      <c r="C36" s="49">
        <v>45311</v>
      </c>
      <c r="D36" s="53" t="s">
        <v>234</v>
      </c>
      <c r="E36" s="59">
        <v>0</v>
      </c>
      <c r="F36" s="59">
        <v>0</v>
      </c>
      <c r="G36" s="59">
        <v>0</v>
      </c>
      <c r="H36" s="59">
        <v>0</v>
      </c>
      <c r="I36" s="59">
        <v>0</v>
      </c>
      <c r="J36" s="59">
        <f t="shared" si="0"/>
        <v>0</v>
      </c>
      <c r="L36" s="46"/>
      <c r="M36" s="46"/>
      <c r="N36" s="46"/>
      <c r="O36" s="46"/>
      <c r="P36" s="46"/>
    </row>
    <row r="37" spans="1:16" x14ac:dyDescent="0.2">
      <c r="A37" s="8">
        <f t="shared" si="1"/>
        <v>45346</v>
      </c>
      <c r="B37" s="57">
        <v>150000</v>
      </c>
      <c r="C37" s="49">
        <v>45342</v>
      </c>
      <c r="D37" s="53" t="s">
        <v>234</v>
      </c>
      <c r="E37" s="59">
        <v>0</v>
      </c>
      <c r="F37" s="59">
        <v>0</v>
      </c>
      <c r="G37" s="59">
        <v>0</v>
      </c>
      <c r="H37" s="59">
        <v>0</v>
      </c>
      <c r="I37" s="59">
        <v>0</v>
      </c>
      <c r="J37" s="59">
        <f t="shared" si="0"/>
        <v>0</v>
      </c>
      <c r="L37" s="46"/>
      <c r="M37" s="46"/>
      <c r="N37" s="46"/>
      <c r="O37" s="46"/>
      <c r="P37" s="46"/>
    </row>
    <row r="38" spans="1:16" x14ac:dyDescent="0.2">
      <c r="A38" s="8">
        <f t="shared" si="1"/>
        <v>45311</v>
      </c>
      <c r="B38" s="57">
        <v>66800</v>
      </c>
      <c r="C38" s="49">
        <v>45306</v>
      </c>
      <c r="D38" s="54" t="s">
        <v>235</v>
      </c>
      <c r="E38" s="58">
        <v>0</v>
      </c>
      <c r="F38" s="58">
        <v>6500</v>
      </c>
      <c r="G38" s="58">
        <v>0</v>
      </c>
      <c r="H38" s="58">
        <v>2400</v>
      </c>
      <c r="I38" s="58">
        <v>64000</v>
      </c>
      <c r="J38" s="58">
        <f t="shared" si="0"/>
        <v>72900</v>
      </c>
      <c r="L38" s="46"/>
      <c r="M38" s="46"/>
      <c r="N38" s="46"/>
      <c r="O38" s="46"/>
      <c r="P38" s="46"/>
    </row>
    <row r="39" spans="1:16" x14ac:dyDescent="0.2">
      <c r="A39" s="8">
        <f t="shared" si="1"/>
        <v>45346</v>
      </c>
      <c r="B39" s="57">
        <v>75000</v>
      </c>
      <c r="C39" s="49">
        <v>45342</v>
      </c>
      <c r="D39" s="52" t="s">
        <v>236</v>
      </c>
      <c r="E39" s="59">
        <v>0</v>
      </c>
      <c r="F39" s="59">
        <v>0</v>
      </c>
      <c r="G39" s="59">
        <v>0</v>
      </c>
      <c r="H39" s="59">
        <v>0</v>
      </c>
      <c r="I39" s="59">
        <v>0</v>
      </c>
      <c r="J39" s="59">
        <f t="shared" si="0"/>
        <v>0</v>
      </c>
      <c r="L39" s="46"/>
      <c r="M39" s="46"/>
      <c r="N39" s="46"/>
      <c r="O39" s="46"/>
      <c r="P39" s="46"/>
    </row>
    <row r="40" spans="1:16" x14ac:dyDescent="0.2">
      <c r="A40" s="8">
        <f t="shared" si="1"/>
        <v>0</v>
      </c>
      <c r="B40" s="57"/>
      <c r="C40" s="49"/>
      <c r="D40" s="51" t="s">
        <v>237</v>
      </c>
      <c r="E40" s="58">
        <v>0</v>
      </c>
      <c r="F40" s="58">
        <v>0</v>
      </c>
      <c r="G40" s="58">
        <v>0</v>
      </c>
      <c r="H40" s="58">
        <v>6500</v>
      </c>
      <c r="I40" s="58">
        <v>16100</v>
      </c>
      <c r="J40" s="58">
        <f t="shared" si="0"/>
        <v>22600</v>
      </c>
      <c r="L40" s="46"/>
      <c r="M40" s="46"/>
      <c r="N40" s="46"/>
      <c r="O40" s="46"/>
      <c r="P40" s="46"/>
    </row>
    <row r="41" spans="1:16" x14ac:dyDescent="0.2">
      <c r="A41" s="8">
        <f t="shared" si="1"/>
        <v>0</v>
      </c>
      <c r="B41" s="57"/>
      <c r="C41" s="49"/>
      <c r="D41" s="51" t="s">
        <v>238</v>
      </c>
      <c r="E41" s="58">
        <v>0</v>
      </c>
      <c r="F41" s="58">
        <v>0</v>
      </c>
      <c r="G41" s="58">
        <v>400</v>
      </c>
      <c r="H41" s="58">
        <v>3600</v>
      </c>
      <c r="I41" s="58">
        <v>27600</v>
      </c>
      <c r="J41" s="58">
        <f t="shared" si="0"/>
        <v>31600</v>
      </c>
      <c r="L41" s="46"/>
      <c r="M41" s="46"/>
      <c r="N41" s="46"/>
      <c r="O41" s="46"/>
      <c r="P41" s="46"/>
    </row>
    <row r="42" spans="1:16" x14ac:dyDescent="0.2">
      <c r="A42" s="8">
        <f t="shared" si="1"/>
        <v>0</v>
      </c>
      <c r="B42" s="57"/>
      <c r="C42" s="49"/>
      <c r="D42" s="51" t="s">
        <v>239</v>
      </c>
      <c r="E42" s="58">
        <v>0</v>
      </c>
      <c r="F42" s="58">
        <v>0</v>
      </c>
      <c r="G42" s="58">
        <v>0</v>
      </c>
      <c r="H42" s="58">
        <v>0</v>
      </c>
      <c r="I42" s="58">
        <v>70900</v>
      </c>
      <c r="J42" s="58">
        <f t="shared" si="0"/>
        <v>70900</v>
      </c>
      <c r="L42" s="46"/>
      <c r="M42" s="46"/>
      <c r="N42" s="46"/>
      <c r="O42" s="46"/>
      <c r="P42" s="46"/>
    </row>
    <row r="43" spans="1:16" x14ac:dyDescent="0.2">
      <c r="A43" s="8">
        <f t="shared" si="1"/>
        <v>0</v>
      </c>
      <c r="B43" s="57"/>
      <c r="C43" s="49"/>
      <c r="D43" s="51" t="s">
        <v>240</v>
      </c>
      <c r="E43" s="58">
        <v>0</v>
      </c>
      <c r="F43" s="58">
        <v>700</v>
      </c>
      <c r="G43" s="58">
        <v>900</v>
      </c>
      <c r="H43" s="58">
        <v>2300</v>
      </c>
      <c r="I43" s="58">
        <v>6000</v>
      </c>
      <c r="J43" s="58">
        <f t="shared" si="0"/>
        <v>9900</v>
      </c>
      <c r="L43" s="46"/>
      <c r="M43" s="46"/>
      <c r="N43" s="46"/>
      <c r="O43" s="46"/>
      <c r="P43" s="46"/>
    </row>
    <row r="44" spans="1:16" x14ac:dyDescent="0.2">
      <c r="A44" s="8">
        <f t="shared" si="1"/>
        <v>0</v>
      </c>
      <c r="B44" s="57"/>
      <c r="C44" s="49"/>
      <c r="D44" s="54" t="s">
        <v>241</v>
      </c>
      <c r="E44" s="58">
        <v>0</v>
      </c>
      <c r="F44" s="58">
        <v>0</v>
      </c>
      <c r="G44" s="58">
        <v>0</v>
      </c>
      <c r="H44" s="58">
        <v>15200</v>
      </c>
      <c r="I44" s="58">
        <v>15200</v>
      </c>
      <c r="J44" s="58">
        <f t="shared" si="0"/>
        <v>30400</v>
      </c>
      <c r="L44" s="46"/>
      <c r="M44" s="46"/>
      <c r="N44" s="46"/>
      <c r="O44" s="46"/>
      <c r="P44" s="46"/>
    </row>
    <row r="45" spans="1:16" x14ac:dyDescent="0.2">
      <c r="A45" s="8">
        <f t="shared" si="1"/>
        <v>0</v>
      </c>
      <c r="B45" s="57"/>
      <c r="C45" s="49"/>
      <c r="D45" s="51" t="s">
        <v>242</v>
      </c>
      <c r="E45" s="58">
        <v>0</v>
      </c>
      <c r="F45" s="58">
        <v>0</v>
      </c>
      <c r="G45" s="58">
        <v>0</v>
      </c>
      <c r="H45" s="58">
        <v>0</v>
      </c>
      <c r="I45" s="58">
        <v>9600</v>
      </c>
      <c r="J45" s="58">
        <f t="shared" si="0"/>
        <v>9600</v>
      </c>
      <c r="L45" s="46"/>
      <c r="M45" s="46"/>
      <c r="N45" s="46"/>
      <c r="O45" s="46"/>
      <c r="P45" s="46"/>
    </row>
    <row r="46" spans="1:16" x14ac:dyDescent="0.2">
      <c r="A46" s="8">
        <f t="shared" si="1"/>
        <v>45283</v>
      </c>
      <c r="B46" s="57">
        <v>125100</v>
      </c>
      <c r="C46" s="49">
        <v>45280</v>
      </c>
      <c r="D46" s="54" t="s">
        <v>243</v>
      </c>
      <c r="E46" s="58">
        <v>0</v>
      </c>
      <c r="F46" s="58">
        <v>113200</v>
      </c>
      <c r="G46" s="58">
        <v>0</v>
      </c>
      <c r="H46" s="58">
        <v>2700</v>
      </c>
      <c r="I46" s="58">
        <v>9100</v>
      </c>
      <c r="J46" s="58">
        <f t="shared" si="0"/>
        <v>125000</v>
      </c>
      <c r="L46" s="46"/>
      <c r="M46" s="46"/>
      <c r="N46" s="46"/>
      <c r="O46" s="46"/>
      <c r="P46" s="46"/>
    </row>
  </sheetData>
  <autoFilter ref="A2:J46" xr:uid="{D766A1CD-9128-46ED-8111-908F716DA863}"/>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02DD8-8D23-43D9-8F59-43712959D14B}">
  <sheetPr>
    <tabColor theme="0" tint="-0.249977111117893"/>
  </sheetPr>
  <dimension ref="A1:G23"/>
  <sheetViews>
    <sheetView workbookViewId="0"/>
  </sheetViews>
  <sheetFormatPr defaultRowHeight="12.75" x14ac:dyDescent="0.2"/>
  <cols>
    <col min="1" max="1" width="17.28515625" style="7" bestFit="1" customWidth="1"/>
    <col min="2" max="2" width="25.140625" style="7" bestFit="1" customWidth="1"/>
    <col min="3" max="3" width="15.140625" style="7" customWidth="1"/>
    <col min="4" max="4" width="2.5703125" style="7" customWidth="1"/>
    <col min="5" max="5" width="17.85546875" style="7" customWidth="1"/>
    <col min="6" max="7" width="25.140625" style="7" bestFit="1" customWidth="1"/>
    <col min="8" max="9" width="9.140625" style="7"/>
    <col min="10" max="10" width="30" style="7" bestFit="1" customWidth="1"/>
    <col min="11" max="16384" width="9.140625" style="7"/>
  </cols>
  <sheetData>
    <row r="1" spans="1:7" x14ac:dyDescent="0.2">
      <c r="A1" s="76" t="s">
        <v>114</v>
      </c>
      <c r="B1" s="76" t="s">
        <v>92</v>
      </c>
      <c r="C1" s="76" t="s">
        <v>115</v>
      </c>
      <c r="D1" s="76"/>
      <c r="E1" s="76" t="s">
        <v>116</v>
      </c>
      <c r="F1" s="76" t="s">
        <v>92</v>
      </c>
      <c r="G1" s="76" t="s">
        <v>115</v>
      </c>
    </row>
    <row r="2" spans="1:7" x14ac:dyDescent="0.2">
      <c r="A2" s="7" t="s">
        <v>117</v>
      </c>
      <c r="B2" s="7" t="s">
        <v>51</v>
      </c>
      <c r="C2" s="7" t="str">
        <f>INDEX('Forecast 1'!$B$9:$B$56,MATCH(Table2[[#This Row],[Category]],'Forecast 1'!$B$9:$B$56,0))</f>
        <v>Accounts Payable</v>
      </c>
      <c r="E2" s="7" t="s">
        <v>93</v>
      </c>
      <c r="F2" s="7" t="s">
        <v>74</v>
      </c>
      <c r="G2" s="7" t="str">
        <f>INDEX('Forecast 1'!$B$9:$B$56,MATCH(Table3[[#This Row],[Category]],'Forecast 1'!$B$9:$B$56,0))</f>
        <v>Other Operating Outflows</v>
      </c>
    </row>
    <row r="3" spans="1:7" x14ac:dyDescent="0.2">
      <c r="A3" s="7" t="s">
        <v>118</v>
      </c>
      <c r="B3" s="7" t="s">
        <v>51</v>
      </c>
      <c r="C3" s="7" t="str">
        <f>INDEX('Forecast 1'!$B$9:$B$56,MATCH(Table2[[#This Row],[Category]],'Forecast 1'!$B$9:$B$56,0))</f>
        <v>Accounts Payable</v>
      </c>
      <c r="E3" s="7" t="s">
        <v>94</v>
      </c>
      <c r="F3" s="7" t="s">
        <v>52</v>
      </c>
      <c r="G3" s="7" t="str">
        <f>INDEX('Forecast 1'!$B$9:$B$56,MATCH(Table3[[#This Row],[Category]],'Forecast 1'!$B$9:$B$56,0))</f>
        <v>Credit Cards</v>
      </c>
    </row>
    <row r="4" spans="1:7" x14ac:dyDescent="0.2">
      <c r="A4" s="7" t="s">
        <v>119</v>
      </c>
      <c r="B4" s="7" t="s">
        <v>51</v>
      </c>
      <c r="C4" s="7" t="str">
        <f>INDEX('Forecast 1'!$B$9:$B$56,MATCH(Table2[[#This Row],[Category]],'Forecast 1'!$B$9:$B$56,0))</f>
        <v>Accounts Payable</v>
      </c>
      <c r="E4" s="7" t="s">
        <v>16</v>
      </c>
      <c r="F4" s="7" t="s">
        <v>53</v>
      </c>
      <c r="G4" s="7" t="str">
        <f>INDEX('Forecast 1'!$B$9:$B$56,MATCH(Table3[[#This Row],[Category]],'Forecast 1'!$B$9:$B$56,0))</f>
        <v>Payroll</v>
      </c>
    </row>
    <row r="5" spans="1:7" x14ac:dyDescent="0.2">
      <c r="A5" s="7" t="s">
        <v>120</v>
      </c>
      <c r="B5" s="7" t="s">
        <v>51</v>
      </c>
      <c r="C5" s="7" t="str">
        <f>INDEX('Forecast 1'!$B$9:$B$56,MATCH(Table2[[#This Row],[Category]],'Forecast 1'!$B$9:$B$56,0))</f>
        <v>Accounts Payable</v>
      </c>
      <c r="E5" s="7" t="s">
        <v>95</v>
      </c>
      <c r="F5" s="7" t="s">
        <v>74</v>
      </c>
      <c r="G5" s="7" t="str">
        <f>INDEX('Forecast 1'!$B$9:$B$56,MATCH(Table3[[#This Row],[Category]],'Forecast 1'!$B$9:$B$56,0))</f>
        <v>Other Operating Outflows</v>
      </c>
    </row>
    <row r="6" spans="1:7" x14ac:dyDescent="0.2">
      <c r="A6" s="7" t="s">
        <v>121</v>
      </c>
      <c r="B6" s="7" t="s">
        <v>51</v>
      </c>
      <c r="C6" s="7" t="str">
        <f>INDEX('Forecast 1'!$B$9:$B$56,MATCH(Table2[[#This Row],[Category]],'Forecast 1'!$B$9:$B$56,0))</f>
        <v>Accounts Payable</v>
      </c>
      <c r="E6" s="7" t="s">
        <v>18</v>
      </c>
      <c r="F6" s="1" t="s">
        <v>87</v>
      </c>
      <c r="G6" s="7" t="str">
        <f>INDEX('Forecast 1'!$B$9:$B$56,MATCH(Table3[[#This Row],[Category]],'Forecast 1'!$B$9:$B$56,0))</f>
        <v xml:space="preserve">  Invoice Revenue Receipts</v>
      </c>
    </row>
    <row r="7" spans="1:7" x14ac:dyDescent="0.2">
      <c r="A7" s="7" t="s">
        <v>122</v>
      </c>
      <c r="B7" s="7" t="s">
        <v>51</v>
      </c>
      <c r="C7" s="7" t="str">
        <f>INDEX('Forecast 1'!$B$9:$B$56,MATCH(Table2[[#This Row],[Category]],'Forecast 1'!$B$9:$B$56,0))</f>
        <v>Accounts Payable</v>
      </c>
      <c r="E7" s="7" t="s">
        <v>97</v>
      </c>
      <c r="F7" s="7" t="s">
        <v>74</v>
      </c>
      <c r="G7" s="7" t="str">
        <f>INDEX('Forecast 1'!$B$9:$B$56,MATCH(Table3[[#This Row],[Category]],'Forecast 1'!$B$9:$B$56,0))</f>
        <v>Other Operating Outflows</v>
      </c>
    </row>
    <row r="8" spans="1:7" x14ac:dyDescent="0.2">
      <c r="A8" s="7" t="s">
        <v>123</v>
      </c>
      <c r="B8" s="7" t="s">
        <v>51</v>
      </c>
      <c r="C8" s="7" t="str">
        <f>INDEX('Forecast 1'!$B$9:$B$56,MATCH(Table2[[#This Row],[Category]],'Forecast 1'!$B$9:$B$56,0))</f>
        <v>Accounts Payable</v>
      </c>
      <c r="E8" s="7" t="s">
        <v>98</v>
      </c>
      <c r="F8" s="7" t="s">
        <v>62</v>
      </c>
      <c r="G8" s="7" t="str">
        <f>INDEX('Forecast 1'!$B$9:$B$56,MATCH(Table3[[#This Row],[Category]],'Forecast 1'!$B$9:$B$56,0))</f>
        <v>Professional Fees</v>
      </c>
    </row>
    <row r="9" spans="1:7" x14ac:dyDescent="0.2">
      <c r="A9" s="7" t="s">
        <v>124</v>
      </c>
      <c r="B9" s="7" t="s">
        <v>51</v>
      </c>
      <c r="C9" s="7" t="str">
        <f>INDEX('Forecast 1'!$B$9:$B$56,MATCH(Table2[[#This Row],[Category]],'Forecast 1'!$B$9:$B$56,0))</f>
        <v>Accounts Payable</v>
      </c>
      <c r="E9" s="7" t="s">
        <v>99</v>
      </c>
      <c r="F9" s="7" t="s">
        <v>81</v>
      </c>
      <c r="G9" s="7" t="str">
        <f>INDEX('Forecast 1'!$B$9:$B$56,MATCH(Table3[[#This Row],[Category]],'Forecast 1'!$B$9:$B$56,0))</f>
        <v>Tax Distributions</v>
      </c>
    </row>
    <row r="10" spans="1:7" x14ac:dyDescent="0.2">
      <c r="A10" s="7" t="s">
        <v>125</v>
      </c>
      <c r="B10" s="7" t="s">
        <v>51</v>
      </c>
      <c r="C10" s="7" t="str">
        <f>INDEX('Forecast 1'!$B$9:$B$56,MATCH(Table2[[#This Row],[Category]],'Forecast 1'!$B$9:$B$56,0))</f>
        <v>Accounts Payable</v>
      </c>
      <c r="E10" s="7" t="s">
        <v>100</v>
      </c>
      <c r="F10" s="7" t="s">
        <v>57</v>
      </c>
      <c r="G10" s="7" t="str">
        <f>INDEX('Forecast 1'!$B$9:$B$56,MATCH(Table3[[#This Row],[Category]],'Forecast 1'!$B$9:$B$56,0))</f>
        <v>Dues &amp; Subscriptions</v>
      </c>
    </row>
    <row r="11" spans="1:7" x14ac:dyDescent="0.2">
      <c r="A11" s="7" t="s">
        <v>126</v>
      </c>
      <c r="B11" s="7" t="s">
        <v>51</v>
      </c>
      <c r="C11" s="7" t="str">
        <f>INDEX('Forecast 1'!$B$9:$B$56,MATCH(Table2[[#This Row],[Category]],'Forecast 1'!$B$9:$B$56,0))</f>
        <v>Accounts Payable</v>
      </c>
      <c r="E11" s="7" t="s">
        <v>101</v>
      </c>
      <c r="F11" s="7" t="s">
        <v>52</v>
      </c>
      <c r="G11" s="7" t="str">
        <f>INDEX('Forecast 1'!$B$9:$B$56,MATCH(Table3[[#This Row],[Category]],'Forecast 1'!$B$9:$B$56,0))</f>
        <v>Credit Cards</v>
      </c>
    </row>
    <row r="12" spans="1:7" x14ac:dyDescent="0.2">
      <c r="A12" s="7" t="s">
        <v>127</v>
      </c>
      <c r="B12" s="7" t="s">
        <v>51</v>
      </c>
      <c r="C12" s="7" t="str">
        <f>INDEX('Forecast 1'!$B$9:$B$56,MATCH(Table2[[#This Row],[Category]],'Forecast 1'!$B$9:$B$56,0))</f>
        <v>Accounts Payable</v>
      </c>
      <c r="E12" s="7" t="s">
        <v>102</v>
      </c>
      <c r="F12" s="7" t="s">
        <v>59</v>
      </c>
      <c r="G12" s="7" t="str">
        <f>INDEX('Forecast 1'!$B$9:$B$56,MATCH(Table3[[#This Row],[Category]],'Forecast 1'!$B$9:$B$56,0))</f>
        <v>Lease Payments</v>
      </c>
    </row>
    <row r="13" spans="1:7" x14ac:dyDescent="0.2">
      <c r="A13" s="7" t="s">
        <v>128</v>
      </c>
      <c r="B13" s="7" t="s">
        <v>51</v>
      </c>
      <c r="C13" s="7" t="str">
        <f>INDEX('Forecast 1'!$B$9:$B$56,MATCH(Table2[[#This Row],[Category]],'Forecast 1'!$B$9:$B$56,0))</f>
        <v>Accounts Payable</v>
      </c>
      <c r="E13" s="7" t="s">
        <v>103</v>
      </c>
      <c r="F13" s="7" t="s">
        <v>68</v>
      </c>
      <c r="G13" s="7" t="str">
        <f>INDEX('Forecast 1'!$B$9:$B$56,MATCH(Table3[[#This Row],[Category]],'Forecast 1'!$B$9:$B$56,0))</f>
        <v>Technology</v>
      </c>
    </row>
    <row r="14" spans="1:7" x14ac:dyDescent="0.2">
      <c r="A14" s="7" t="s">
        <v>129</v>
      </c>
      <c r="B14" s="7" t="s">
        <v>51</v>
      </c>
      <c r="C14" s="7" t="str">
        <f>INDEX('Forecast 1'!$B$9:$B$56,MATCH(Table2[[#This Row],[Category]],'Forecast 1'!$B$9:$B$56,0))</f>
        <v>Accounts Payable</v>
      </c>
      <c r="E14" s="7" t="s">
        <v>104</v>
      </c>
      <c r="F14" s="7" t="s">
        <v>53</v>
      </c>
      <c r="G14" s="7" t="str">
        <f>INDEX('Forecast 1'!$B$9:$B$56,MATCH(Table3[[#This Row],[Category]],'Forecast 1'!$B$9:$B$56,0))</f>
        <v>Payroll</v>
      </c>
    </row>
    <row r="15" spans="1:7" x14ac:dyDescent="0.2">
      <c r="A15" s="7" t="s">
        <v>130</v>
      </c>
      <c r="B15" s="7" t="s">
        <v>51</v>
      </c>
      <c r="C15" s="7" t="str">
        <f>INDEX('Forecast 1'!$B$9:$B$56,MATCH(Table2[[#This Row],[Category]],'Forecast 1'!$B$9:$B$56,0))</f>
        <v>Accounts Payable</v>
      </c>
      <c r="E15" s="7" t="s">
        <v>105</v>
      </c>
      <c r="F15" s="7" t="s">
        <v>60</v>
      </c>
      <c r="G15" s="7" t="str">
        <f>INDEX('Forecast 1'!$B$9:$B$56,MATCH(Table3[[#This Row],[Category]],'Forecast 1'!$B$9:$B$56,0))</f>
        <v>Marketing</v>
      </c>
    </row>
    <row r="16" spans="1:7" x14ac:dyDescent="0.2">
      <c r="A16" s="7" t="s">
        <v>131</v>
      </c>
      <c r="B16" s="7" t="s">
        <v>51</v>
      </c>
      <c r="C16" s="7" t="str">
        <f>INDEX('Forecast 1'!$B$9:$B$56,MATCH(Table2[[#This Row],[Category]],'Forecast 1'!$B$9:$B$56,0))</f>
        <v>Accounts Payable</v>
      </c>
      <c r="E16" s="7" t="s">
        <v>106</v>
      </c>
      <c r="F16" s="1" t="s">
        <v>87</v>
      </c>
      <c r="G16" s="7" t="str">
        <f>INDEX('Forecast 1'!$B$9:$B$56,MATCH(Table3[[#This Row],[Category]],'Forecast 1'!$B$9:$B$56,0))</f>
        <v xml:space="preserve">  Invoice Revenue Receipts</v>
      </c>
    </row>
    <row r="17" spans="1:7" x14ac:dyDescent="0.2">
      <c r="A17" s="7" t="s">
        <v>132</v>
      </c>
      <c r="B17" s="7" t="s">
        <v>51</v>
      </c>
      <c r="C17" s="7" t="str">
        <f>INDEX('Forecast 1'!$B$9:$B$56,MATCH(Table2[[#This Row],[Category]],'Forecast 1'!$B$9:$B$56,0))</f>
        <v>Accounts Payable</v>
      </c>
      <c r="E17" s="7" t="s">
        <v>107</v>
      </c>
      <c r="F17" s="7" t="s">
        <v>81</v>
      </c>
      <c r="G17" s="7" t="str">
        <f>INDEX('Forecast 1'!$B$9:$B$56,MATCH(Table3[[#This Row],[Category]],'Forecast 1'!$B$9:$B$56,0))</f>
        <v>Tax Distributions</v>
      </c>
    </row>
    <row r="18" spans="1:7" x14ac:dyDescent="0.2">
      <c r="A18" s="7" t="s">
        <v>133</v>
      </c>
      <c r="B18" s="7" t="s">
        <v>51</v>
      </c>
      <c r="C18" s="7" t="str">
        <f>INDEX('Forecast 1'!$B$9:$B$56,MATCH(Table2[[#This Row],[Category]],'Forecast 1'!$B$9:$B$56,0))</f>
        <v>Accounts Payable</v>
      </c>
      <c r="E18" s="7" t="s">
        <v>108</v>
      </c>
      <c r="F18" s="7" t="s">
        <v>72</v>
      </c>
      <c r="G18" s="7" t="str">
        <f>INDEX('Forecast 1'!$B$9:$B$56,MATCH(Table3[[#This Row],[Category]],'Forecast 1'!$B$9:$B$56,0))</f>
        <v>Vehicles</v>
      </c>
    </row>
    <row r="19" spans="1:7" x14ac:dyDescent="0.2">
      <c r="A19" s="7" t="s">
        <v>134</v>
      </c>
      <c r="B19" s="7" t="s">
        <v>51</v>
      </c>
      <c r="C19" s="7" t="str">
        <f>INDEX('Forecast 1'!$B$9:$B$56,MATCH(Table2[[#This Row],[Category]],'Forecast 1'!$B$9:$B$56,0))</f>
        <v>Accounts Payable</v>
      </c>
      <c r="E19" s="7" t="s">
        <v>109</v>
      </c>
      <c r="F19" s="7" t="s">
        <v>72</v>
      </c>
      <c r="G19" s="7" t="str">
        <f>INDEX('Forecast 1'!$B$9:$B$56,MATCH(Table3[[#This Row],[Category]],'Forecast 1'!$B$9:$B$56,0))</f>
        <v>Vehicles</v>
      </c>
    </row>
    <row r="20" spans="1:7" x14ac:dyDescent="0.2">
      <c r="A20" s="7" t="s">
        <v>135</v>
      </c>
      <c r="B20" s="7" t="s">
        <v>51</v>
      </c>
      <c r="C20" s="7" t="str">
        <f>INDEX('Forecast 1'!$B$9:$B$56,MATCH(Table2[[#This Row],[Category]],'Forecast 1'!$B$9:$B$56,0))</f>
        <v>Accounts Payable</v>
      </c>
      <c r="E20" s="7" t="s">
        <v>110</v>
      </c>
      <c r="F20" s="1" t="s">
        <v>87</v>
      </c>
      <c r="G20" s="7" t="str">
        <f>INDEX('Forecast 1'!$B$9:$B$56,MATCH(Table3[[#This Row],[Category]],'Forecast 1'!$B$9:$B$56,0))</f>
        <v xml:space="preserve">  Invoice Revenue Receipts</v>
      </c>
    </row>
    <row r="21" spans="1:7" x14ac:dyDescent="0.2">
      <c r="A21" s="7" t="s">
        <v>136</v>
      </c>
      <c r="B21" s="7" t="s">
        <v>51</v>
      </c>
      <c r="C21" s="7" t="str">
        <f>INDEX('Forecast 1'!$B$9:$B$56,MATCH(Table2[[#This Row],[Category]],'Forecast 1'!$B$9:$B$56,0))</f>
        <v>Accounts Payable</v>
      </c>
      <c r="E21" s="7" t="s">
        <v>111</v>
      </c>
      <c r="F21" s="7" t="s">
        <v>84</v>
      </c>
      <c r="G21" s="7" t="str">
        <f>INDEX('Forecast 1'!$B$9:$B$56,MATCH(Table3[[#This Row],[Category]],'Forecast 1'!$B$9:$B$56,0))</f>
        <v>Other Non-operating Outflows</v>
      </c>
    </row>
    <row r="22" spans="1:7" x14ac:dyDescent="0.2">
      <c r="A22" s="7" t="s">
        <v>137</v>
      </c>
      <c r="B22" s="7" t="s">
        <v>51</v>
      </c>
      <c r="C22" s="7" t="str">
        <f>INDEX('Forecast 1'!$B$9:$B$56,MATCH(Table2[[#This Row],[Category]],'Forecast 1'!$B$9:$B$56,0))</f>
        <v>Accounts Payable</v>
      </c>
      <c r="E22" s="7" t="s">
        <v>112</v>
      </c>
      <c r="F22" s="7" t="s">
        <v>84</v>
      </c>
      <c r="G22" s="7" t="str">
        <f>INDEX('Forecast 1'!$B$9:$B$56,MATCH(Table3[[#This Row],[Category]],'Forecast 1'!$B$9:$B$56,0))</f>
        <v>Other Non-operating Outflows</v>
      </c>
    </row>
    <row r="23" spans="1:7" x14ac:dyDescent="0.2">
      <c r="E23" s="7" t="s">
        <v>113</v>
      </c>
      <c r="F23" s="7" t="s">
        <v>84</v>
      </c>
      <c r="G23" s="7" t="str">
        <f>INDEX('Forecast 1'!$B$9:$B$56,MATCH(Table3[[#This Row],[Category]],'Forecast 1'!$B$9:$B$56,0))</f>
        <v>Other Non-operating Outflows</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E3653-85D4-434A-97D3-4D81C4FB1F05}">
  <dimension ref="B1:E6"/>
  <sheetViews>
    <sheetView workbookViewId="0"/>
  </sheetViews>
  <sheetFormatPr defaultRowHeight="15" x14ac:dyDescent="0.25"/>
  <cols>
    <col min="1" max="1" width="2.7109375" customWidth="1"/>
    <col min="3" max="3" width="2.7109375" customWidth="1"/>
  </cols>
  <sheetData>
    <row r="1" spans="2:5" ht="15.75" thickBot="1" x14ac:dyDescent="0.3"/>
    <row r="2" spans="2:5" ht="15.75" thickBot="1" x14ac:dyDescent="0.3">
      <c r="B2" s="17">
        <f>SUM(B3:B7)</f>
        <v>0</v>
      </c>
      <c r="D2" t="s">
        <v>46</v>
      </c>
    </row>
    <row r="3" spans="2:5" ht="15.75" thickBot="1" x14ac:dyDescent="0.3"/>
    <row r="4" spans="2:5" ht="15.75" thickBot="1" x14ac:dyDescent="0.3">
      <c r="B4" s="17">
        <f>SUM('Forecast 1'!14:14)</f>
        <v>0</v>
      </c>
      <c r="D4" t="s">
        <v>47</v>
      </c>
    </row>
    <row r="5" spans="2:5" ht="15.75" thickBot="1" x14ac:dyDescent="0.3">
      <c r="B5" s="17">
        <f>SUM(Summary!14:14)</f>
        <v>0</v>
      </c>
      <c r="D5" t="s">
        <v>245</v>
      </c>
    </row>
    <row r="6" spans="2:5" ht="15.75" thickBot="1" x14ac:dyDescent="0.3">
      <c r="B6" s="16"/>
      <c r="C6" s="16"/>
      <c r="D6" s="16"/>
      <c r="E6" s="16"/>
    </row>
  </sheetData>
  <conditionalFormatting sqref="B2">
    <cfRule type="cellIs" dxfId="5" priority="1" operator="notEqual">
      <formula>0</formula>
    </cfRule>
    <cfRule type="cellIs" dxfId="4" priority="2" operator="greaterThan">
      <formula>0</formula>
    </cfRule>
    <cfRule type="cellIs" dxfId="3" priority="4" operator="equal">
      <formula>0</formula>
    </cfRule>
  </conditionalFormatting>
  <conditionalFormatting sqref="B4:B5">
    <cfRule type="cellIs" dxfId="2" priority="5" operator="notEqual">
      <formula>0</formula>
    </cfRule>
    <cfRule type="cellIs" dxfId="1" priority="6" operator="greaterThan">
      <formula>0</formula>
    </cfRule>
    <cfRule type="cellIs" dxfId="0" priority="11" operator="equal">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4CCB-6D65-409B-BDBC-DAA56C86440A}">
  <dimension ref="A1:J30"/>
  <sheetViews>
    <sheetView showGridLines="0" tabSelected="1" workbookViewId="0">
      <pane ySplit="2" topLeftCell="A3" activePane="bottomLeft" state="frozen"/>
      <selection pane="bottomLeft"/>
    </sheetView>
  </sheetViews>
  <sheetFormatPr defaultRowHeight="15" x14ac:dyDescent="0.25"/>
  <cols>
    <col min="1" max="1" width="23.28515625" customWidth="1"/>
    <col min="2" max="2" width="82.85546875" customWidth="1"/>
    <col min="3" max="3" width="21.5703125" bestFit="1" customWidth="1"/>
  </cols>
  <sheetData>
    <row r="1" spans="1:10" ht="35.25" customHeight="1" x14ac:dyDescent="0.7">
      <c r="A1" s="70" t="s">
        <v>250</v>
      </c>
      <c r="B1" s="69"/>
      <c r="C1" s="69"/>
      <c r="D1" s="78"/>
      <c r="E1" s="78"/>
      <c r="F1" s="78"/>
      <c r="G1" s="78"/>
      <c r="H1" s="78"/>
      <c r="I1" s="78"/>
      <c r="J1" s="78"/>
    </row>
    <row r="2" spans="1:10" x14ac:dyDescent="0.25">
      <c r="A2" s="74" t="s">
        <v>45</v>
      </c>
      <c r="B2" s="74" t="s">
        <v>42</v>
      </c>
      <c r="C2" s="74" t="s">
        <v>43</v>
      </c>
    </row>
    <row r="4" spans="1:10" ht="90" x14ac:dyDescent="0.25">
      <c r="A4" s="28" t="str">
        <f ca="1">_xlfn.FORMULATEXT('Bank Statement Export'!A2)</f>
        <v>=F2+7-WEEKDAY(F2)</v>
      </c>
      <c r="B4" s="29" t="s">
        <v>44</v>
      </c>
      <c r="C4" s="81" t="str">
        <f ca="1">RIGHT(CELL("filename",'Bank Statement Export'!A1),LEN(CELL("filename",'Bank Statement Export'!A1))-FIND("]",CELL("filename",'Bank Statement Export'!A1)))</f>
        <v>Bank Statement Export</v>
      </c>
    </row>
    <row r="8" spans="1:10" x14ac:dyDescent="0.25">
      <c r="A8" s="80" t="str">
        <f ca="1">_xlfn.FORMULATEXT('Bank Statement Export'!C2)</f>
        <v>{=IFERROR(INDEX(Mapping!$B$2:$B$22,MATCH('Bank Statement Export'!B2,Mapping!$A$2:$A$22,0)),INDEX(Table3[Category],MATCH(TRUE,ISNUMBER(SEARCH(Table3[Unique ID Contains],B2)),0)))}</v>
      </c>
      <c r="B8" s="80"/>
      <c r="C8" s="80"/>
      <c r="D8" s="80"/>
      <c r="E8" s="80"/>
      <c r="F8" s="80"/>
      <c r="G8" s="80"/>
      <c r="H8" s="80"/>
      <c r="I8" s="80"/>
    </row>
    <row r="9" spans="1:10" x14ac:dyDescent="0.25">
      <c r="A9" s="80"/>
      <c r="B9" s="80"/>
      <c r="C9" s="80"/>
      <c r="D9" s="80"/>
      <c r="E9" s="80"/>
      <c r="F9" s="80"/>
      <c r="G9" s="80"/>
      <c r="H9" s="80"/>
      <c r="I9" s="80"/>
    </row>
    <row r="10" spans="1:10" x14ac:dyDescent="0.25">
      <c r="A10" s="80"/>
      <c r="B10" s="80" t="s">
        <v>138</v>
      </c>
      <c r="C10" s="80"/>
      <c r="D10" s="80"/>
      <c r="E10" s="80"/>
      <c r="F10" s="80"/>
      <c r="G10" s="80"/>
      <c r="H10" s="80"/>
      <c r="I10" s="80"/>
    </row>
    <row r="11" spans="1:10" x14ac:dyDescent="0.25">
      <c r="A11" s="80"/>
      <c r="B11" s="80" t="s">
        <v>139</v>
      </c>
      <c r="C11" s="80"/>
      <c r="D11" s="80"/>
      <c r="E11" s="80"/>
      <c r="F11" s="80"/>
      <c r="G11" s="80"/>
      <c r="H11" s="80"/>
      <c r="I11" s="80"/>
    </row>
    <row r="12" spans="1:10" x14ac:dyDescent="0.25">
      <c r="A12" s="80"/>
      <c r="B12" s="80" t="s">
        <v>140</v>
      </c>
      <c r="C12" s="80"/>
      <c r="D12" s="80"/>
      <c r="E12" s="80"/>
      <c r="F12" s="80"/>
      <c r="G12" s="80"/>
      <c r="H12" s="80"/>
      <c r="I12" s="80"/>
    </row>
    <row r="13" spans="1:10" x14ac:dyDescent="0.25">
      <c r="A13" s="80"/>
      <c r="B13" s="80" t="s">
        <v>141</v>
      </c>
      <c r="C13" s="80"/>
      <c r="D13" s="80"/>
      <c r="E13" s="80"/>
      <c r="F13" s="80"/>
      <c r="G13" s="80"/>
      <c r="H13" s="80"/>
      <c r="I13" s="80"/>
    </row>
    <row r="14" spans="1:10" x14ac:dyDescent="0.25">
      <c r="A14" s="80"/>
      <c r="B14" s="80" t="s">
        <v>142</v>
      </c>
      <c r="C14" s="80"/>
      <c r="D14" s="80"/>
      <c r="E14" s="80"/>
      <c r="F14" s="80"/>
      <c r="G14" s="80"/>
      <c r="H14" s="80"/>
      <c r="I14" s="80"/>
    </row>
    <row r="15" spans="1:10" x14ac:dyDescent="0.25">
      <c r="A15" s="80"/>
      <c r="B15" s="80" t="s">
        <v>143</v>
      </c>
      <c r="C15" s="80"/>
      <c r="D15" s="80"/>
      <c r="E15" s="80"/>
      <c r="F15" s="80"/>
      <c r="G15" s="80"/>
      <c r="H15" s="80"/>
      <c r="I15" s="80"/>
    </row>
    <row r="16" spans="1:10" x14ac:dyDescent="0.25">
      <c r="A16" s="80"/>
      <c r="B16" s="80" t="s">
        <v>144</v>
      </c>
      <c r="C16" s="80"/>
      <c r="D16" s="80"/>
      <c r="E16" s="80"/>
      <c r="F16" s="80"/>
      <c r="G16" s="80"/>
      <c r="H16" s="80"/>
      <c r="I16" s="80"/>
    </row>
    <row r="17" spans="1:9" x14ac:dyDescent="0.25">
      <c r="A17" s="80"/>
      <c r="B17" s="80" t="s">
        <v>145</v>
      </c>
      <c r="C17" s="80"/>
      <c r="D17" s="80"/>
      <c r="E17" s="80"/>
      <c r="F17" s="80"/>
      <c r="G17" s="80"/>
      <c r="H17" s="80"/>
      <c r="I17" s="80"/>
    </row>
    <row r="18" spans="1:9" x14ac:dyDescent="0.25">
      <c r="A18" s="80"/>
      <c r="B18" s="80" t="s">
        <v>146</v>
      </c>
      <c r="C18" s="80"/>
      <c r="D18" s="80"/>
      <c r="E18" s="80"/>
      <c r="F18" s="80"/>
      <c r="G18" s="80"/>
      <c r="H18" s="80"/>
      <c r="I18" s="80"/>
    </row>
    <row r="19" spans="1:9" x14ac:dyDescent="0.25">
      <c r="A19" s="80"/>
      <c r="B19" s="80" t="s">
        <v>147</v>
      </c>
      <c r="C19" s="80"/>
      <c r="D19" s="80"/>
      <c r="E19" s="80"/>
      <c r="F19" s="80"/>
      <c r="G19" s="80"/>
      <c r="H19" s="80"/>
      <c r="I19" s="80"/>
    </row>
    <row r="20" spans="1:9" x14ac:dyDescent="0.25">
      <c r="A20" s="80"/>
      <c r="B20" s="80" t="s">
        <v>149</v>
      </c>
      <c r="C20" s="80"/>
      <c r="D20" s="80"/>
      <c r="E20" s="80"/>
      <c r="F20" s="80"/>
      <c r="G20" s="80"/>
      <c r="H20" s="80"/>
      <c r="I20" s="80"/>
    </row>
    <row r="21" spans="1:9" x14ac:dyDescent="0.25">
      <c r="A21" s="80"/>
      <c r="B21" s="80" t="s">
        <v>148</v>
      </c>
      <c r="C21" s="80">
        <f>SEARCH("Excel",B21)</f>
        <v>1</v>
      </c>
      <c r="D21" s="80"/>
      <c r="E21" s="80"/>
      <c r="F21" s="80"/>
      <c r="G21" s="80"/>
      <c r="H21" s="80"/>
      <c r="I21" s="80"/>
    </row>
    <row r="22" spans="1:9" x14ac:dyDescent="0.25">
      <c r="A22" s="80"/>
      <c r="B22" s="80" t="s">
        <v>150</v>
      </c>
      <c r="C22" s="80"/>
      <c r="D22" s="80"/>
      <c r="E22" s="80"/>
      <c r="F22" s="80"/>
      <c r="G22" s="80"/>
      <c r="H22" s="80"/>
      <c r="I22" s="80"/>
    </row>
    <row r="23" spans="1:9" x14ac:dyDescent="0.25">
      <c r="A23" s="80"/>
      <c r="B23" s="80" t="s">
        <v>151</v>
      </c>
      <c r="C23" s="80"/>
      <c r="D23" s="80"/>
      <c r="E23" s="80"/>
      <c r="F23" s="80"/>
      <c r="G23" s="80"/>
      <c r="H23" s="80"/>
      <c r="I23" s="80"/>
    </row>
    <row r="24" spans="1:9" x14ac:dyDescent="0.25">
      <c r="A24" s="80"/>
      <c r="B24" s="80" t="s">
        <v>152</v>
      </c>
      <c r="C24" s="80"/>
      <c r="D24" s="80"/>
      <c r="E24" s="80"/>
      <c r="F24" s="80"/>
      <c r="G24" s="80"/>
      <c r="H24" s="80"/>
      <c r="I24" s="80"/>
    </row>
    <row r="25" spans="1:9" x14ac:dyDescent="0.25">
      <c r="A25" s="80"/>
      <c r="B25" s="80" t="s">
        <v>153</v>
      </c>
      <c r="C25" s="80"/>
      <c r="D25" s="80"/>
      <c r="E25" s="80"/>
      <c r="F25" s="80"/>
      <c r="G25" s="80"/>
      <c r="H25" s="80"/>
      <c r="I25" s="80"/>
    </row>
    <row r="26" spans="1:9" x14ac:dyDescent="0.25">
      <c r="A26" s="80"/>
      <c r="B26" s="80"/>
      <c r="C26" s="82" t="str">
        <f ca="1">RIGHT(CELL("filename",'Bank Statement Export'!A1),LEN(CELL("filename",'Bank Statement Export'!A1))-FIND("]",CELL("filename",'Bank Statement Export'!A1)))</f>
        <v>Bank Statement Export</v>
      </c>
      <c r="D26" s="80"/>
      <c r="E26" s="80"/>
      <c r="F26" s="80"/>
      <c r="G26" s="80"/>
      <c r="H26" s="80"/>
      <c r="I26" s="80"/>
    </row>
    <row r="27" spans="1:9" x14ac:dyDescent="0.25">
      <c r="A27" s="80"/>
      <c r="B27" s="80"/>
      <c r="C27" s="80"/>
      <c r="D27" s="80"/>
      <c r="E27" s="80"/>
      <c r="F27" s="80"/>
      <c r="G27" s="80"/>
      <c r="H27" s="80"/>
      <c r="I27" s="80"/>
    </row>
    <row r="28" spans="1:9" x14ac:dyDescent="0.25">
      <c r="A28" s="80"/>
      <c r="B28" s="80"/>
      <c r="C28" s="80"/>
      <c r="D28" s="80"/>
      <c r="E28" s="80"/>
      <c r="F28" s="80"/>
      <c r="G28" s="80"/>
      <c r="H28" s="80"/>
      <c r="I28" s="80"/>
    </row>
    <row r="30" spans="1:9" ht="45" x14ac:dyDescent="0.25">
      <c r="A30" s="28" t="str">
        <f ca="1">_xlfn.FORMULATEXT(Summary!V7)</f>
        <v>=MAX('Forecast 1'!7:7)</v>
      </c>
      <c r="B30" s="79" t="s">
        <v>244</v>
      </c>
      <c r="C30" s="81" t="str">
        <f ca="1">RIGHT(CELL("filename",Summary!A1),LEN(CELL("filename",Summary!A1))-FIND("]",CELL("filename",Summary!A1)))</f>
        <v>Summary</v>
      </c>
    </row>
  </sheetData>
  <hyperlinks>
    <hyperlink ref="A1" r:id="rId1" display="https://thesharpeandsortino.com/" xr:uid="{C72D5E44-726F-4EAA-A682-08AFC52B83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Forecast 1</vt:lpstr>
      <vt:lpstr>Bank Statement Export</vt:lpstr>
      <vt:lpstr>Data</vt:lpstr>
      <vt:lpstr>AP Aging 01</vt:lpstr>
      <vt:lpstr>AR Aging 01</vt:lpstr>
      <vt:lpstr>Mapping</vt:lpstr>
      <vt:lpstr>Error Checking</vt:lpstr>
      <vt:lpstr>Formula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Hemang Asher</dc:creator>
  <cp:lastModifiedBy>Hemang Asher</cp:lastModifiedBy>
  <cp:lastPrinted>2026-01-03T11:36:13Z</cp:lastPrinted>
  <dcterms:created xsi:type="dcterms:W3CDTF">2025-12-25T15:27:42Z</dcterms:created>
  <dcterms:modified xsi:type="dcterms:W3CDTF">2026-01-03T14:25:37Z</dcterms:modified>
</cp:coreProperties>
</file>